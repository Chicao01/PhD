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385" yWindow="-15" windowWidth="14430" windowHeight="12720" tabRatio="983" activeTab="56"/>
  </bookViews>
  <sheets>
    <sheet name="30 mA" sheetId="4" r:id="rId1"/>
    <sheet name="Plan11" sheetId="15" state="hidden" r:id="rId2"/>
    <sheet name="Plan12" sheetId="16" state="hidden" r:id="rId3"/>
    <sheet name="Plan13" sheetId="17" state="hidden" r:id="rId4"/>
    <sheet name="Plan14" sheetId="18" state="hidden" r:id="rId5"/>
    <sheet name="Plan15" sheetId="19" state="hidden" r:id="rId6"/>
    <sheet name="Plan16" sheetId="20" state="hidden" r:id="rId7"/>
    <sheet name="Plan17" sheetId="21" state="hidden" r:id="rId8"/>
    <sheet name="Plan18" sheetId="22" state="hidden" r:id="rId9"/>
    <sheet name="Plan19" sheetId="23" state="hidden" r:id="rId10"/>
    <sheet name="Plan20" sheetId="24" state="hidden" r:id="rId11"/>
    <sheet name="10 mA" sheetId="25" r:id="rId12"/>
    <sheet name="Plan11 (2)" sheetId="36" state="hidden" r:id="rId13"/>
    <sheet name="Plan12 (2)" sheetId="37" state="hidden" r:id="rId14"/>
    <sheet name="Plan13 (2)" sheetId="38" state="hidden" r:id="rId15"/>
    <sheet name="Plan14 (2)" sheetId="39" state="hidden" r:id="rId16"/>
    <sheet name="Plan15 (2)" sheetId="40" state="hidden" r:id="rId17"/>
    <sheet name="Plan16 (2)" sheetId="41" state="hidden" r:id="rId18"/>
    <sheet name="Plan17 (2)" sheetId="42" state="hidden" r:id="rId19"/>
    <sheet name="Plan18 (2)" sheetId="43" state="hidden" r:id="rId20"/>
    <sheet name="Plan19 (2)" sheetId="44" state="hidden" r:id="rId21"/>
    <sheet name="Plan20 (2)" sheetId="45" state="hidden" r:id="rId22"/>
    <sheet name="Plan11 (3)" sheetId="57" state="hidden" r:id="rId23"/>
    <sheet name="Plan12 (3)" sheetId="58" state="hidden" r:id="rId24"/>
    <sheet name="Plan13 (3)" sheetId="59" state="hidden" r:id="rId25"/>
    <sheet name="Plan14 (3)" sheetId="60" state="hidden" r:id="rId26"/>
    <sheet name="Plan15 (3)" sheetId="61" state="hidden" r:id="rId27"/>
    <sheet name="Plan16 (3)" sheetId="62" state="hidden" r:id="rId28"/>
    <sheet name="Plan17 (3)" sheetId="63" state="hidden" r:id="rId29"/>
    <sheet name="Plan18 (3)" sheetId="64" state="hidden" r:id="rId30"/>
    <sheet name="Plan19 (3)" sheetId="65" state="hidden" r:id="rId31"/>
    <sheet name="Plan20 (3)" sheetId="66" state="hidden" r:id="rId32"/>
    <sheet name="3 mA" sheetId="46" r:id="rId33"/>
    <sheet name="1 mA" sheetId="77" r:id="rId34"/>
    <sheet name="Plan1" sheetId="67" state="hidden" r:id="rId35"/>
    <sheet name="Plan2" sheetId="68" state="hidden" r:id="rId36"/>
    <sheet name="Plan3" sheetId="69" state="hidden" r:id="rId37"/>
    <sheet name="Plan4" sheetId="70" state="hidden" r:id="rId38"/>
    <sheet name="Plan5" sheetId="71" state="hidden" r:id="rId39"/>
    <sheet name="Plan6" sheetId="72" state="hidden" r:id="rId40"/>
    <sheet name="Plan7" sheetId="73" state="hidden" r:id="rId41"/>
    <sheet name="Plan8" sheetId="74" state="hidden" r:id="rId42"/>
    <sheet name="Plan9" sheetId="75" state="hidden" r:id="rId43"/>
    <sheet name="Plan10" sheetId="76" state="hidden" r:id="rId44"/>
    <sheet name="300 uA" sheetId="78" r:id="rId45"/>
    <sheet name="Plan1 (2)" sheetId="79" state="hidden" r:id="rId46"/>
    <sheet name="Plan2 (2)" sheetId="80" state="hidden" r:id="rId47"/>
    <sheet name="Plan3 (2)" sheetId="81" state="hidden" r:id="rId48"/>
    <sheet name="Plan4 (2)" sheetId="82" state="hidden" r:id="rId49"/>
    <sheet name="Plan5 (2)" sheetId="83" state="hidden" r:id="rId50"/>
    <sheet name="Plan6 (2)" sheetId="84" state="hidden" r:id="rId51"/>
    <sheet name="Plan7 (2)" sheetId="85" state="hidden" r:id="rId52"/>
    <sheet name="Plan8 (2)" sheetId="86" state="hidden" r:id="rId53"/>
    <sheet name="Plan9 (2)" sheetId="87" state="hidden" r:id="rId54"/>
    <sheet name="Plan10 (2)" sheetId="88" state="hidden" r:id="rId55"/>
    <sheet name="Estabilidade 30 mA" sheetId="90" r:id="rId56"/>
    <sheet name="Estabilidade 10 mA" sheetId="91" r:id="rId57"/>
    <sheet name="Estabilidade 3 mA" sheetId="89" r:id="rId58"/>
    <sheet name="Estabilidade 1 mA" sheetId="92" r:id="rId59"/>
    <sheet name="Estabilidade 300 uA" sheetId="93" r:id="rId60"/>
    <sheet name="Estabilidade 10 mA s descarte" sheetId="96" r:id="rId61"/>
    <sheet name="Estabilidade 1 mA s descarte" sheetId="95" r:id="rId62"/>
    <sheet name="Estabilidade 300 uA s descarte" sheetId="94" r:id="rId63"/>
  </sheets>
  <definedNames>
    <definedName name="_xlnm._FilterDatabase" localSheetId="33" hidden="1">'1 mA'!$A$1:$U$88</definedName>
    <definedName name="_xlnm._FilterDatabase" localSheetId="11" hidden="1">'10 mA'!$A$1:$U$88</definedName>
    <definedName name="_xlnm._FilterDatabase" localSheetId="32" hidden="1">'3 mA'!$A$1:$V$88</definedName>
    <definedName name="_xlnm._FilterDatabase" localSheetId="0" hidden="1">'30 mA'!$A$1:$V$88</definedName>
    <definedName name="_xlnm._FilterDatabase" localSheetId="44" hidden="1">'300 uA'!$A$1:$O$88</definedName>
  </definedNames>
  <calcPr calcId="145621"/>
</workbook>
</file>

<file path=xl/calcChain.xml><?xml version="1.0" encoding="utf-8"?>
<calcChain xmlns="http://schemas.openxmlformats.org/spreadsheetml/2006/main">
  <c r="L5" i="91" l="1"/>
  <c r="L4" i="91"/>
  <c r="C5" i="91"/>
  <c r="C4" i="91"/>
  <c r="I2" i="91"/>
  <c r="H43" i="96"/>
  <c r="L11" i="93"/>
  <c r="L10" i="93"/>
  <c r="C11" i="93"/>
  <c r="C10" i="93"/>
  <c r="E8" i="93"/>
  <c r="D2" i="93"/>
  <c r="C11" i="89" l="1"/>
  <c r="C10" i="89"/>
  <c r="L10" i="89"/>
  <c r="L11" i="89"/>
  <c r="L11" i="90"/>
  <c r="L10" i="90"/>
  <c r="C11" i="90"/>
  <c r="C10" i="90"/>
  <c r="W11" i="90"/>
  <c r="W5" i="90"/>
  <c r="O11" i="90"/>
  <c r="O10" i="90"/>
  <c r="D9" i="90"/>
  <c r="E9" i="90"/>
  <c r="F9" i="90"/>
  <c r="S43" i="90" s="1"/>
  <c r="G9" i="90"/>
  <c r="T43" i="90" s="1"/>
  <c r="H9" i="90"/>
  <c r="U43" i="90" s="1"/>
  <c r="U44" i="90" s="1"/>
  <c r="U45" i="90" s="1"/>
  <c r="I9" i="90"/>
  <c r="R50" i="90" s="1"/>
  <c r="R52" i="90" s="1"/>
  <c r="J9" i="90"/>
  <c r="K9" i="90"/>
  <c r="L9" i="90"/>
  <c r="C9" i="90"/>
  <c r="L5" i="90"/>
  <c r="L4" i="90"/>
  <c r="C5" i="90"/>
  <c r="C4" i="90"/>
  <c r="O5" i="90"/>
  <c r="O4" i="90"/>
  <c r="D3" i="90"/>
  <c r="E3" i="90"/>
  <c r="E43" i="90" s="1"/>
  <c r="F3" i="90"/>
  <c r="G3" i="90"/>
  <c r="H3" i="90"/>
  <c r="H43" i="90" s="1"/>
  <c r="I3" i="90"/>
  <c r="I43" i="90" s="1"/>
  <c r="J3" i="90"/>
  <c r="K3" i="90"/>
  <c r="L3" i="90"/>
  <c r="C3" i="90"/>
  <c r="P49" i="90"/>
  <c r="C49" i="90"/>
  <c r="Y43" i="90"/>
  <c r="Y50" i="90" s="1"/>
  <c r="Y52" i="90" s="1"/>
  <c r="X43" i="90"/>
  <c r="X44" i="90" s="1"/>
  <c r="X45" i="90" s="1"/>
  <c r="W43" i="90"/>
  <c r="R43" i="90"/>
  <c r="Q43" i="90"/>
  <c r="P43" i="90"/>
  <c r="O43" i="90"/>
  <c r="L43" i="90"/>
  <c r="K43" i="90"/>
  <c r="J43" i="90"/>
  <c r="G43" i="90"/>
  <c r="F43" i="90"/>
  <c r="D43" i="90"/>
  <c r="B43" i="90"/>
  <c r="P41" i="90"/>
  <c r="C41" i="90"/>
  <c r="L11" i="91"/>
  <c r="L10" i="91"/>
  <c r="C11" i="91"/>
  <c r="C10" i="91"/>
  <c r="D8" i="91"/>
  <c r="L11" i="96"/>
  <c r="C11" i="96"/>
  <c r="P49" i="96"/>
  <c r="C49" i="96"/>
  <c r="X43" i="96"/>
  <c r="X44" i="96" s="1"/>
  <c r="X45" i="96" s="1"/>
  <c r="X42" i="91" s="1"/>
  <c r="W43" i="96"/>
  <c r="W41" i="91" s="1"/>
  <c r="V43" i="96"/>
  <c r="Q43" i="96"/>
  <c r="Q41" i="91" s="1"/>
  <c r="O43" i="96"/>
  <c r="E43" i="96"/>
  <c r="B43" i="96"/>
  <c r="P41" i="96"/>
  <c r="C41" i="96"/>
  <c r="W12" i="96"/>
  <c r="L9" i="96"/>
  <c r="Y43" i="96" s="1"/>
  <c r="K9" i="96"/>
  <c r="J9" i="96"/>
  <c r="I9" i="96"/>
  <c r="H9" i="96"/>
  <c r="U43" i="96" s="1"/>
  <c r="G9" i="96"/>
  <c r="T43" i="96" s="1"/>
  <c r="F9" i="96"/>
  <c r="S43" i="96" s="1"/>
  <c r="E9" i="96"/>
  <c r="R43" i="96" s="1"/>
  <c r="R41" i="91" s="1"/>
  <c r="D9" i="96"/>
  <c r="C9" i="96"/>
  <c r="C8" i="96"/>
  <c r="C10" i="96" s="1"/>
  <c r="W6" i="96"/>
  <c r="L5" i="96"/>
  <c r="C5" i="96"/>
  <c r="L3" i="96"/>
  <c r="L43" i="96" s="1"/>
  <c r="L41" i="91" s="1"/>
  <c r="K3" i="96"/>
  <c r="K43" i="96" s="1"/>
  <c r="K41" i="91" s="1"/>
  <c r="J3" i="96"/>
  <c r="J43" i="96" s="1"/>
  <c r="J41" i="91" s="1"/>
  <c r="I3" i="96"/>
  <c r="I43" i="96" s="1"/>
  <c r="I41" i="91" s="1"/>
  <c r="H3" i="96"/>
  <c r="G3" i="96"/>
  <c r="F3" i="96"/>
  <c r="F43" i="96" s="1"/>
  <c r="E3" i="96"/>
  <c r="D3" i="96"/>
  <c r="D43" i="96" s="1"/>
  <c r="C3" i="96"/>
  <c r="C43" i="96" s="1"/>
  <c r="C2" i="96"/>
  <c r="D9" i="91"/>
  <c r="E9" i="91"/>
  <c r="F9" i="91"/>
  <c r="G9" i="91"/>
  <c r="H9" i="91"/>
  <c r="I9" i="91"/>
  <c r="J9" i="91"/>
  <c r="K9" i="91"/>
  <c r="L9" i="91"/>
  <c r="L3" i="91"/>
  <c r="K3" i="91"/>
  <c r="J3" i="91"/>
  <c r="I3" i="91"/>
  <c r="G3" i="91"/>
  <c r="F3" i="91"/>
  <c r="O5" i="91" s="1"/>
  <c r="E3" i="91"/>
  <c r="D3" i="91"/>
  <c r="C3" i="91"/>
  <c r="U44" i="96" l="1"/>
  <c r="U45" i="96" s="1"/>
  <c r="U42" i="91" s="1"/>
  <c r="U41" i="91"/>
  <c r="F44" i="96"/>
  <c r="F45" i="96" s="1"/>
  <c r="F42" i="91" s="1"/>
  <c r="F41" i="91"/>
  <c r="Y44" i="96"/>
  <c r="Y45" i="96" s="1"/>
  <c r="Y42" i="91" s="1"/>
  <c r="Y41" i="91"/>
  <c r="C44" i="96"/>
  <c r="C45" i="96" s="1"/>
  <c r="C42" i="91" s="1"/>
  <c r="C41" i="91"/>
  <c r="D44" i="96"/>
  <c r="D45" i="96" s="1"/>
  <c r="D42" i="91" s="1"/>
  <c r="D41" i="91"/>
  <c r="S44" i="96"/>
  <c r="S45" i="96" s="1"/>
  <c r="S42" i="91" s="1"/>
  <c r="S41" i="91"/>
  <c r="S50" i="96"/>
  <c r="S52" i="96" s="1"/>
  <c r="T44" i="96"/>
  <c r="T45" i="96" s="1"/>
  <c r="T42" i="91" s="1"/>
  <c r="T41" i="91"/>
  <c r="Q10" i="96"/>
  <c r="R10" i="96" s="1"/>
  <c r="T10" i="96" s="1"/>
  <c r="V44" i="96"/>
  <c r="V45" i="96" s="1"/>
  <c r="V42" i="91" s="1"/>
  <c r="V41" i="91"/>
  <c r="Q11" i="96"/>
  <c r="O10" i="96"/>
  <c r="P10" i="96" s="1"/>
  <c r="E44" i="96"/>
  <c r="E45" i="96" s="1"/>
  <c r="E42" i="91" s="1"/>
  <c r="Q4" i="96"/>
  <c r="W44" i="96"/>
  <c r="W45" i="96" s="1"/>
  <c r="W42" i="91" s="1"/>
  <c r="X41" i="91"/>
  <c r="Q50" i="96"/>
  <c r="Q52" i="96" s="1"/>
  <c r="F50" i="96"/>
  <c r="O4" i="96"/>
  <c r="P4" i="96" s="1"/>
  <c r="E41" i="91"/>
  <c r="S44" i="90"/>
  <c r="S45" i="90" s="1"/>
  <c r="S50" i="90"/>
  <c r="S51" i="90" s="1"/>
  <c r="T44" i="90"/>
  <c r="T45" i="90" s="1"/>
  <c r="T50" i="90"/>
  <c r="T52" i="90" s="1"/>
  <c r="W50" i="90"/>
  <c r="W52" i="90" s="1"/>
  <c r="R44" i="90"/>
  <c r="R45" i="90" s="1"/>
  <c r="Q50" i="90"/>
  <c r="V43" i="90"/>
  <c r="V44" i="90" s="1"/>
  <c r="V45" i="90" s="1"/>
  <c r="P50" i="90"/>
  <c r="X50" i="90"/>
  <c r="X52" i="90" s="1"/>
  <c r="W44" i="90"/>
  <c r="W45" i="90" s="1"/>
  <c r="Y44" i="90"/>
  <c r="Y45" i="90" s="1"/>
  <c r="G50" i="90"/>
  <c r="G51" i="90"/>
  <c r="G52" i="90"/>
  <c r="J50" i="90"/>
  <c r="G44" i="90"/>
  <c r="G45" i="90" s="1"/>
  <c r="H44" i="90"/>
  <c r="H45" i="90" s="1"/>
  <c r="L50" i="90"/>
  <c r="D50" i="90"/>
  <c r="D52" i="90" s="1"/>
  <c r="E50" i="90"/>
  <c r="E52" i="90" s="1"/>
  <c r="F50" i="90"/>
  <c r="F52" i="90" s="1"/>
  <c r="D44" i="90"/>
  <c r="D45" i="90" s="1"/>
  <c r="H50" i="90"/>
  <c r="E44" i="90"/>
  <c r="E45" i="90" s="1"/>
  <c r="I50" i="90"/>
  <c r="F44" i="90"/>
  <c r="F45" i="90" s="1"/>
  <c r="K50" i="90"/>
  <c r="K52" i="90" s="1"/>
  <c r="I44" i="90"/>
  <c r="I45" i="90" s="1"/>
  <c r="J44" i="90"/>
  <c r="J45" i="90" s="1"/>
  <c r="K44" i="90"/>
  <c r="K45" i="90" s="1"/>
  <c r="L44" i="90"/>
  <c r="L45" i="90" s="1"/>
  <c r="C43" i="90"/>
  <c r="C44" i="90" s="1"/>
  <c r="C45" i="90" s="1"/>
  <c r="P52" i="90"/>
  <c r="P51" i="90"/>
  <c r="Q52" i="90"/>
  <c r="Q51" i="90"/>
  <c r="U50" i="90"/>
  <c r="P44" i="90"/>
  <c r="P45" i="90" s="1"/>
  <c r="V50" i="90"/>
  <c r="R51" i="90"/>
  <c r="Q44" i="90"/>
  <c r="Q45" i="90" s="1"/>
  <c r="S52" i="90"/>
  <c r="E51" i="90"/>
  <c r="Y51" i="90"/>
  <c r="O10" i="91"/>
  <c r="Q11" i="91"/>
  <c r="O4" i="91"/>
  <c r="O11" i="91"/>
  <c r="Q10" i="91"/>
  <c r="Q51" i="96"/>
  <c r="R44" i="96"/>
  <c r="R45" i="96" s="1"/>
  <c r="R42" i="91" s="1"/>
  <c r="R50" i="96"/>
  <c r="F52" i="96"/>
  <c r="F51" i="96"/>
  <c r="K50" i="96"/>
  <c r="K44" i="96"/>
  <c r="K45" i="96" s="1"/>
  <c r="K42" i="91" s="1"/>
  <c r="I50" i="96"/>
  <c r="I44" i="96"/>
  <c r="I45" i="96" s="1"/>
  <c r="I42" i="91" s="1"/>
  <c r="J50" i="96"/>
  <c r="J44" i="96"/>
  <c r="J45" i="96" s="1"/>
  <c r="J42" i="91" s="1"/>
  <c r="L50" i="96"/>
  <c r="L44" i="96"/>
  <c r="L45" i="96" s="1"/>
  <c r="L42" i="91" s="1"/>
  <c r="F37" i="96"/>
  <c r="P43" i="96"/>
  <c r="P41" i="91" s="1"/>
  <c r="T50" i="96"/>
  <c r="V50" i="96"/>
  <c r="D50" i="96"/>
  <c r="X50" i="96"/>
  <c r="Y50" i="96"/>
  <c r="O11" i="96"/>
  <c r="P11" i="96" s="1"/>
  <c r="H41" i="91"/>
  <c r="W9" i="96"/>
  <c r="W10" i="96" s="1"/>
  <c r="D2" i="96"/>
  <c r="E2" i="96" s="1"/>
  <c r="F2" i="96" s="1"/>
  <c r="G2" i="96" s="1"/>
  <c r="H2" i="96" s="1"/>
  <c r="I2" i="96" s="1"/>
  <c r="J2" i="96" s="1"/>
  <c r="K2" i="96" s="1"/>
  <c r="L2" i="96" s="1"/>
  <c r="O5" i="96"/>
  <c r="P5" i="96" s="1"/>
  <c r="U50" i="96"/>
  <c r="C50" i="96"/>
  <c r="Q5" i="96"/>
  <c r="R5" i="96" s="1"/>
  <c r="Q44" i="96"/>
  <c r="Q45" i="96" s="1"/>
  <c r="Q42" i="91" s="1"/>
  <c r="W50" i="96"/>
  <c r="W3" i="96"/>
  <c r="W4" i="96" s="1"/>
  <c r="E50" i="96"/>
  <c r="C4" i="96"/>
  <c r="G43" i="96"/>
  <c r="G41" i="91" s="1"/>
  <c r="D8" i="96"/>
  <c r="O41" i="91"/>
  <c r="B41" i="91"/>
  <c r="W11" i="89"/>
  <c r="O11" i="89"/>
  <c r="O10" i="89"/>
  <c r="O43" i="89"/>
  <c r="B43" i="89"/>
  <c r="O41" i="92"/>
  <c r="B41" i="92"/>
  <c r="O41" i="93"/>
  <c r="B41" i="93"/>
  <c r="O43" i="95"/>
  <c r="B43" i="95"/>
  <c r="O43" i="94"/>
  <c r="B43" i="94"/>
  <c r="Q51" i="89"/>
  <c r="R51" i="89"/>
  <c r="S51" i="89"/>
  <c r="T51" i="89"/>
  <c r="U51" i="89"/>
  <c r="V51" i="89"/>
  <c r="W51" i="89"/>
  <c r="X51" i="89"/>
  <c r="Y51" i="89"/>
  <c r="P51" i="89"/>
  <c r="Q45" i="89"/>
  <c r="R45" i="89"/>
  <c r="S45" i="89"/>
  <c r="T45" i="89"/>
  <c r="U45" i="89"/>
  <c r="V45" i="89"/>
  <c r="W45" i="89"/>
  <c r="X45" i="89"/>
  <c r="Y45" i="89"/>
  <c r="P45" i="89"/>
  <c r="Q51" i="95"/>
  <c r="R51" i="95"/>
  <c r="S51" i="95"/>
  <c r="T51" i="95"/>
  <c r="U51" i="95"/>
  <c r="V51" i="95"/>
  <c r="W51" i="95"/>
  <c r="X51" i="95"/>
  <c r="Y51" i="95"/>
  <c r="P51" i="95"/>
  <c r="Q45" i="95"/>
  <c r="R45" i="95"/>
  <c r="S45" i="95"/>
  <c r="T45" i="95"/>
  <c r="U45" i="95"/>
  <c r="V45" i="95"/>
  <c r="V42" i="92" s="1"/>
  <c r="W45" i="95"/>
  <c r="W42" i="92" s="1"/>
  <c r="X45" i="95"/>
  <c r="Y45" i="95"/>
  <c r="P45" i="95"/>
  <c r="L9" i="89"/>
  <c r="K9" i="89"/>
  <c r="J9" i="89"/>
  <c r="I9" i="89"/>
  <c r="H9" i="89"/>
  <c r="G9" i="89"/>
  <c r="F9" i="89"/>
  <c r="E9" i="89"/>
  <c r="D9" i="89"/>
  <c r="C9" i="89"/>
  <c r="Y43" i="89"/>
  <c r="X43" i="89"/>
  <c r="W43" i="89"/>
  <c r="V43" i="89"/>
  <c r="U43" i="89"/>
  <c r="S43" i="89"/>
  <c r="P49" i="89"/>
  <c r="R43" i="89"/>
  <c r="Q43" i="89"/>
  <c r="P43" i="89"/>
  <c r="P41" i="89"/>
  <c r="L5" i="89"/>
  <c r="L4" i="89"/>
  <c r="C5" i="89"/>
  <c r="C4" i="89"/>
  <c r="W5" i="89"/>
  <c r="O5" i="89"/>
  <c r="O4" i="89"/>
  <c r="L3" i="89"/>
  <c r="K3" i="89"/>
  <c r="J3" i="89"/>
  <c r="I3" i="89"/>
  <c r="H3" i="89"/>
  <c r="H43" i="89" s="1"/>
  <c r="H50" i="89" s="1"/>
  <c r="G3" i="89"/>
  <c r="G43" i="89" s="1"/>
  <c r="G44" i="89" s="1"/>
  <c r="G45" i="89" s="1"/>
  <c r="F3" i="89"/>
  <c r="E3" i="89"/>
  <c r="D3" i="89"/>
  <c r="C3" i="89"/>
  <c r="D43" i="89"/>
  <c r="D44" i="89" s="1"/>
  <c r="D45" i="89" s="1"/>
  <c r="E43" i="89"/>
  <c r="E44" i="89" s="1"/>
  <c r="E45" i="89" s="1"/>
  <c r="F43" i="89"/>
  <c r="I43" i="89"/>
  <c r="J43" i="89"/>
  <c r="L43" i="89"/>
  <c r="C49" i="89"/>
  <c r="K43" i="89"/>
  <c r="C43" i="89"/>
  <c r="C41" i="89"/>
  <c r="L11" i="92"/>
  <c r="L11" i="95"/>
  <c r="L10" i="92"/>
  <c r="C11" i="92"/>
  <c r="C10" i="92"/>
  <c r="Q11" i="95"/>
  <c r="Q10" i="95"/>
  <c r="L5" i="92"/>
  <c r="L4" i="92"/>
  <c r="C5" i="92"/>
  <c r="C4" i="92"/>
  <c r="Y42" i="92"/>
  <c r="X42" i="92"/>
  <c r="U42" i="92"/>
  <c r="T42" i="92"/>
  <c r="S42" i="92"/>
  <c r="R42" i="92"/>
  <c r="Q42" i="92"/>
  <c r="P42" i="92"/>
  <c r="Y41" i="92"/>
  <c r="X41" i="92"/>
  <c r="W41" i="92"/>
  <c r="V41" i="92"/>
  <c r="U41" i="92"/>
  <c r="T41" i="92"/>
  <c r="S41" i="92"/>
  <c r="R41" i="92"/>
  <c r="Q41" i="92"/>
  <c r="P41" i="92"/>
  <c r="D41" i="92"/>
  <c r="E41" i="92"/>
  <c r="F41" i="92"/>
  <c r="G41" i="92"/>
  <c r="H41" i="92"/>
  <c r="I41" i="92"/>
  <c r="J41" i="92"/>
  <c r="K41" i="92"/>
  <c r="L41" i="92"/>
  <c r="C41" i="92"/>
  <c r="W12" i="92"/>
  <c r="K9" i="92"/>
  <c r="J9" i="92"/>
  <c r="I9" i="92"/>
  <c r="H9" i="92"/>
  <c r="G9" i="92"/>
  <c r="F9" i="92"/>
  <c r="E9" i="92"/>
  <c r="D9" i="92"/>
  <c r="C9" i="92"/>
  <c r="C8" i="92"/>
  <c r="D8" i="92" s="1"/>
  <c r="W6" i="92"/>
  <c r="L3" i="92"/>
  <c r="K3" i="92"/>
  <c r="J3" i="92"/>
  <c r="H3" i="92"/>
  <c r="G3" i="92"/>
  <c r="F3" i="92"/>
  <c r="E3" i="92"/>
  <c r="D3" i="92"/>
  <c r="C3" i="92"/>
  <c r="C2" i="92"/>
  <c r="W11" i="95"/>
  <c r="O11" i="95"/>
  <c r="O10" i="95"/>
  <c r="L10" i="95"/>
  <c r="C11" i="95"/>
  <c r="C10" i="95"/>
  <c r="L9" i="95"/>
  <c r="K9" i="95"/>
  <c r="J9" i="95"/>
  <c r="I9" i="95"/>
  <c r="H9" i="95"/>
  <c r="G9" i="95"/>
  <c r="F9" i="95"/>
  <c r="E9" i="95"/>
  <c r="R43" i="95" s="1"/>
  <c r="D9" i="95"/>
  <c r="Q43" i="95" s="1"/>
  <c r="C9" i="95"/>
  <c r="Y50" i="95"/>
  <c r="Y52" i="95" s="1"/>
  <c r="X50" i="95"/>
  <c r="X52" i="95" s="1"/>
  <c r="W50" i="95"/>
  <c r="W52" i="95" s="1"/>
  <c r="P49" i="95"/>
  <c r="P44" i="95"/>
  <c r="Y43" i="95"/>
  <c r="Y44" i="95" s="1"/>
  <c r="X43" i="95"/>
  <c r="X44" i="95" s="1"/>
  <c r="W43" i="95"/>
  <c r="W44" i="95" s="1"/>
  <c r="V43" i="95"/>
  <c r="V50" i="95" s="1"/>
  <c r="U43" i="95"/>
  <c r="U44" i="95" s="1"/>
  <c r="T43" i="95"/>
  <c r="T44" i="95" s="1"/>
  <c r="S43" i="95"/>
  <c r="S44" i="95" s="1"/>
  <c r="P43" i="95"/>
  <c r="P41" i="95"/>
  <c r="L50" i="95"/>
  <c r="L52" i="95" s="1"/>
  <c r="K50" i="95"/>
  <c r="K52" i="95" s="1"/>
  <c r="J50" i="95"/>
  <c r="J52" i="95" s="1"/>
  <c r="I50" i="95"/>
  <c r="I51" i="95" s="1"/>
  <c r="H50" i="95"/>
  <c r="H52" i="95" s="1"/>
  <c r="G50" i="95"/>
  <c r="G52" i="95" s="1"/>
  <c r="F50" i="95"/>
  <c r="F51" i="95" s="1"/>
  <c r="E50" i="95"/>
  <c r="E51" i="95" s="1"/>
  <c r="D50" i="95"/>
  <c r="D51" i="95" s="1"/>
  <c r="C50" i="95"/>
  <c r="C52" i="95" s="1"/>
  <c r="C49" i="95"/>
  <c r="W5" i="95"/>
  <c r="O5" i="95"/>
  <c r="O4" i="95"/>
  <c r="L5" i="95"/>
  <c r="L4" i="95"/>
  <c r="C5" i="95"/>
  <c r="C4" i="95"/>
  <c r="D3" i="95"/>
  <c r="E3" i="95"/>
  <c r="F3" i="95"/>
  <c r="F43" i="95" s="1"/>
  <c r="G3" i="95"/>
  <c r="G43" i="95" s="1"/>
  <c r="H3" i="95"/>
  <c r="I3" i="95"/>
  <c r="J3" i="95"/>
  <c r="K3" i="95"/>
  <c r="L3" i="95"/>
  <c r="C3" i="95"/>
  <c r="C41" i="95"/>
  <c r="L43" i="95"/>
  <c r="K43" i="95"/>
  <c r="J43" i="95"/>
  <c r="I43" i="95"/>
  <c r="H43" i="95"/>
  <c r="E43" i="95"/>
  <c r="D43" i="95"/>
  <c r="C43" i="95"/>
  <c r="L5" i="93"/>
  <c r="C5" i="93"/>
  <c r="C4" i="93"/>
  <c r="P49" i="94"/>
  <c r="C49" i="94"/>
  <c r="R11" i="96" l="1"/>
  <c r="R4" i="96"/>
  <c r="T4" i="96" s="1"/>
  <c r="Z3" i="96"/>
  <c r="S51" i="96"/>
  <c r="K51" i="95"/>
  <c r="X51" i="90"/>
  <c r="T51" i="90"/>
  <c r="W51" i="90"/>
  <c r="I51" i="90"/>
  <c r="I52" i="90"/>
  <c r="C50" i="90"/>
  <c r="C52" i="90" s="1"/>
  <c r="H51" i="90"/>
  <c r="H52" i="90"/>
  <c r="F51" i="90"/>
  <c r="L51" i="90"/>
  <c r="L52" i="90"/>
  <c r="K51" i="90"/>
  <c r="J51" i="90"/>
  <c r="J52" i="90"/>
  <c r="D51" i="90"/>
  <c r="U52" i="90"/>
  <c r="U51" i="90"/>
  <c r="V52" i="90"/>
  <c r="V51" i="90"/>
  <c r="H44" i="96"/>
  <c r="H45" i="96" s="1"/>
  <c r="H50" i="96"/>
  <c r="J51" i="96"/>
  <c r="J52" i="96"/>
  <c r="E51" i="96"/>
  <c r="E52" i="96"/>
  <c r="X52" i="96"/>
  <c r="X51" i="96"/>
  <c r="I51" i="96"/>
  <c r="I52" i="96"/>
  <c r="W52" i="96"/>
  <c r="W51" i="96"/>
  <c r="Y52" i="96"/>
  <c r="Y51" i="96"/>
  <c r="D52" i="96"/>
  <c r="D51" i="96"/>
  <c r="K52" i="96"/>
  <c r="K51" i="96"/>
  <c r="V51" i="96"/>
  <c r="V52" i="96"/>
  <c r="C52" i="96"/>
  <c r="C51" i="96"/>
  <c r="T52" i="96"/>
  <c r="T51" i="96"/>
  <c r="U52" i="96"/>
  <c r="U51" i="96"/>
  <c r="P50" i="96"/>
  <c r="P44" i="96"/>
  <c r="P45" i="96" s="1"/>
  <c r="P42" i="91" s="1"/>
  <c r="R52" i="96"/>
  <c r="R51" i="96"/>
  <c r="E8" i="96"/>
  <c r="F8" i="96" s="1"/>
  <c r="G8" i="96" s="1"/>
  <c r="H8" i="96" s="1"/>
  <c r="I8" i="96" s="1"/>
  <c r="J8" i="96" s="1"/>
  <c r="K8" i="96" s="1"/>
  <c r="L8" i="96" s="1"/>
  <c r="L10" i="96" s="1"/>
  <c r="L4" i="96"/>
  <c r="Z4" i="96"/>
  <c r="G44" i="96"/>
  <c r="G45" i="96" s="1"/>
  <c r="G42" i="91" s="1"/>
  <c r="G50" i="96"/>
  <c r="W5" i="96"/>
  <c r="L51" i="96"/>
  <c r="L52" i="96"/>
  <c r="Q50" i="89"/>
  <c r="R50" i="89"/>
  <c r="T43" i="89"/>
  <c r="T44" i="89" s="1"/>
  <c r="W50" i="89"/>
  <c r="V50" i="89"/>
  <c r="Y50" i="89"/>
  <c r="Y52" i="89" s="1"/>
  <c r="X50" i="89"/>
  <c r="X52" i="89" s="1"/>
  <c r="U50" i="89"/>
  <c r="U44" i="89"/>
  <c r="S50" i="89"/>
  <c r="S52" i="89" s="1"/>
  <c r="S44" i="89"/>
  <c r="P44" i="89"/>
  <c r="Q44" i="89"/>
  <c r="R44" i="89"/>
  <c r="X44" i="89"/>
  <c r="Y44" i="89"/>
  <c r="P50" i="89"/>
  <c r="V44" i="89"/>
  <c r="W44" i="89"/>
  <c r="Q52" i="89"/>
  <c r="F44" i="89"/>
  <c r="F45" i="89" s="1"/>
  <c r="F50" i="89"/>
  <c r="F51" i="89" s="1"/>
  <c r="K44" i="89"/>
  <c r="K45" i="89" s="1"/>
  <c r="G50" i="89"/>
  <c r="G52" i="89" s="1"/>
  <c r="L44" i="89"/>
  <c r="L45" i="89" s="1"/>
  <c r="L50" i="89"/>
  <c r="L52" i="89" s="1"/>
  <c r="J50" i="89"/>
  <c r="J52" i="89" s="1"/>
  <c r="J44" i="89"/>
  <c r="J45" i="89" s="1"/>
  <c r="I50" i="89"/>
  <c r="I51" i="89" s="1"/>
  <c r="I44" i="89"/>
  <c r="I45" i="89" s="1"/>
  <c r="K50" i="89"/>
  <c r="K52" i="89" s="1"/>
  <c r="H44" i="89"/>
  <c r="H45" i="89" s="1"/>
  <c r="D50" i="89"/>
  <c r="D51" i="89" s="1"/>
  <c r="C44" i="89"/>
  <c r="C45" i="89" s="1"/>
  <c r="H52" i="89"/>
  <c r="H51" i="89"/>
  <c r="E50" i="89"/>
  <c r="C50" i="89"/>
  <c r="O10" i="92"/>
  <c r="P10" i="92" s="1"/>
  <c r="W9" i="92"/>
  <c r="W10" i="92" s="1"/>
  <c r="Q4" i="92"/>
  <c r="O11" i="92"/>
  <c r="P11" i="92" s="1"/>
  <c r="E8" i="92"/>
  <c r="F8" i="92" s="1"/>
  <c r="G8" i="92" s="1"/>
  <c r="H8" i="92" s="1"/>
  <c r="I8" i="92" s="1"/>
  <c r="J8" i="92" s="1"/>
  <c r="K8" i="92" s="1"/>
  <c r="D2" i="92"/>
  <c r="Q10" i="92"/>
  <c r="O5" i="92"/>
  <c r="P5" i="92" s="1"/>
  <c r="Q5" i="92"/>
  <c r="W3" i="92"/>
  <c r="W4" i="92" s="1"/>
  <c r="O4" i="92"/>
  <c r="P4" i="92" s="1"/>
  <c r="Q11" i="92"/>
  <c r="Q50" i="95"/>
  <c r="Q44" i="95"/>
  <c r="R50" i="95"/>
  <c r="R52" i="95" s="1"/>
  <c r="R44" i="95"/>
  <c r="S50" i="95"/>
  <c r="S52" i="95" s="1"/>
  <c r="T50" i="95"/>
  <c r="T52" i="95" s="1"/>
  <c r="U50" i="95"/>
  <c r="U52" i="95" s="1"/>
  <c r="P50" i="95"/>
  <c r="P52" i="95"/>
  <c r="V52" i="95"/>
  <c r="V44" i="95"/>
  <c r="Q52" i="95"/>
  <c r="G51" i="95"/>
  <c r="D52" i="95"/>
  <c r="E52" i="95"/>
  <c r="H51" i="95"/>
  <c r="J51" i="95"/>
  <c r="F52" i="95"/>
  <c r="C51" i="95"/>
  <c r="I52" i="95"/>
  <c r="L51" i="95"/>
  <c r="O11" i="93"/>
  <c r="O10" i="93"/>
  <c r="E9" i="93"/>
  <c r="F9" i="93"/>
  <c r="H9" i="93"/>
  <c r="I9" i="93"/>
  <c r="J9" i="93"/>
  <c r="K9" i="93"/>
  <c r="L9" i="93"/>
  <c r="C9" i="93"/>
  <c r="O5" i="93"/>
  <c r="O4" i="93"/>
  <c r="D3" i="93"/>
  <c r="E3" i="93"/>
  <c r="F3" i="93"/>
  <c r="H3" i="93"/>
  <c r="I3" i="93"/>
  <c r="J3" i="93"/>
  <c r="K3" i="93"/>
  <c r="L3" i="93"/>
  <c r="C3" i="93"/>
  <c r="C51" i="90" l="1"/>
  <c r="P52" i="96"/>
  <c r="P51" i="96"/>
  <c r="Z10" i="96"/>
  <c r="W11" i="96"/>
  <c r="G51" i="96"/>
  <c r="G52" i="96"/>
  <c r="H51" i="96"/>
  <c r="H52" i="96"/>
  <c r="Z9" i="96"/>
  <c r="Q37" i="96"/>
  <c r="R52" i="89"/>
  <c r="W52" i="89"/>
  <c r="V52" i="89"/>
  <c r="U52" i="89"/>
  <c r="T50" i="89"/>
  <c r="P52" i="89"/>
  <c r="L51" i="89"/>
  <c r="K51" i="89"/>
  <c r="J51" i="89"/>
  <c r="G51" i="89"/>
  <c r="F52" i="89"/>
  <c r="D52" i="89"/>
  <c r="I52" i="89"/>
  <c r="E51" i="89"/>
  <c r="E52" i="89"/>
  <c r="C51" i="89"/>
  <c r="C52" i="89"/>
  <c r="R10" i="92"/>
  <c r="T10" i="92" s="1"/>
  <c r="R4" i="92"/>
  <c r="T4" i="92" s="1"/>
  <c r="R5" i="92"/>
  <c r="R11" i="92"/>
  <c r="Z10" i="92"/>
  <c r="W11" i="92"/>
  <c r="Z9" i="92"/>
  <c r="Q37" i="92"/>
  <c r="E2" i="92"/>
  <c r="Q43" i="94"/>
  <c r="R43" i="94"/>
  <c r="S43" i="94"/>
  <c r="T43" i="94"/>
  <c r="T41" i="93" s="1"/>
  <c r="U43" i="94"/>
  <c r="U50" i="94" s="1"/>
  <c r="V43" i="94"/>
  <c r="V50" i="94" s="1"/>
  <c r="W43" i="94"/>
  <c r="W50" i="94" s="1"/>
  <c r="X43" i="94"/>
  <c r="L9" i="94"/>
  <c r="Y43" i="94" s="1"/>
  <c r="D9" i="94"/>
  <c r="E9" i="94"/>
  <c r="F9" i="94"/>
  <c r="G9" i="94"/>
  <c r="H9" i="94"/>
  <c r="I9" i="94"/>
  <c r="J9" i="94"/>
  <c r="K9" i="94"/>
  <c r="C9" i="94"/>
  <c r="D43" i="94"/>
  <c r="D41" i="93" s="1"/>
  <c r="K43" i="94"/>
  <c r="K41" i="93" s="1"/>
  <c r="L43" i="94"/>
  <c r="C43" i="94"/>
  <c r="D3" i="94"/>
  <c r="E3" i="94"/>
  <c r="E43" i="94" s="1"/>
  <c r="F3" i="94"/>
  <c r="F43" i="94" s="1"/>
  <c r="G3" i="94"/>
  <c r="G43" i="94" s="1"/>
  <c r="H3" i="94"/>
  <c r="H43" i="94" s="1"/>
  <c r="I3" i="94"/>
  <c r="I43" i="94" s="1"/>
  <c r="J3" i="94"/>
  <c r="J43" i="94" s="1"/>
  <c r="K3" i="94"/>
  <c r="L3" i="94"/>
  <c r="C3" i="94"/>
  <c r="R41" i="93"/>
  <c r="Q41" i="93"/>
  <c r="P41" i="94"/>
  <c r="W12" i="93"/>
  <c r="W12" i="95"/>
  <c r="P10" i="95"/>
  <c r="C8" i="95"/>
  <c r="W6" i="95"/>
  <c r="H44" i="95"/>
  <c r="H45" i="95" s="1"/>
  <c r="H42" i="92" s="1"/>
  <c r="C2" i="95"/>
  <c r="D2" i="95" s="1"/>
  <c r="C41" i="94"/>
  <c r="W12" i="94"/>
  <c r="C8" i="94"/>
  <c r="W6" i="94"/>
  <c r="C2" i="94"/>
  <c r="H50" i="94" l="1"/>
  <c r="H41" i="93"/>
  <c r="G50" i="94"/>
  <c r="G41" i="93"/>
  <c r="Y41" i="93"/>
  <c r="Y50" i="94"/>
  <c r="E50" i="94"/>
  <c r="E41" i="93"/>
  <c r="J50" i="94"/>
  <c r="J41" i="93"/>
  <c r="F50" i="94"/>
  <c r="F41" i="93"/>
  <c r="I50" i="94"/>
  <c r="I41" i="93"/>
  <c r="X41" i="93"/>
  <c r="X50" i="94"/>
  <c r="O4" i="94"/>
  <c r="R50" i="94"/>
  <c r="O5" i="94"/>
  <c r="S50" i="94"/>
  <c r="Q50" i="94"/>
  <c r="Q10" i="94"/>
  <c r="Q11" i="94"/>
  <c r="S41" i="93"/>
  <c r="L50" i="94"/>
  <c r="O10" i="94"/>
  <c r="W51" i="94"/>
  <c r="W52" i="94"/>
  <c r="C50" i="94"/>
  <c r="O11" i="94"/>
  <c r="P11" i="94" s="1"/>
  <c r="U41" i="93"/>
  <c r="V51" i="94"/>
  <c r="V52" i="94"/>
  <c r="X44" i="94"/>
  <c r="D2" i="94"/>
  <c r="L5" i="94"/>
  <c r="C4" i="94"/>
  <c r="C5" i="94"/>
  <c r="V41" i="93"/>
  <c r="C41" i="93"/>
  <c r="W41" i="93"/>
  <c r="L41" i="93"/>
  <c r="P43" i="94"/>
  <c r="P44" i="94" s="1"/>
  <c r="D50" i="94"/>
  <c r="U51" i="94"/>
  <c r="U52" i="94"/>
  <c r="T50" i="94"/>
  <c r="K50" i="94"/>
  <c r="U44" i="94"/>
  <c r="Q44" i="94"/>
  <c r="L11" i="94"/>
  <c r="C11" i="94"/>
  <c r="C10" i="94"/>
  <c r="T52" i="89"/>
  <c r="F2" i="92"/>
  <c r="G2" i="92" s="1"/>
  <c r="H2" i="92" s="1"/>
  <c r="Q4" i="95"/>
  <c r="G44" i="95"/>
  <c r="G45" i="95" s="1"/>
  <c r="G42" i="92" s="1"/>
  <c r="P4" i="95"/>
  <c r="F44" i="95"/>
  <c r="F45" i="95" s="1"/>
  <c r="F42" i="92" s="1"/>
  <c r="R44" i="94"/>
  <c r="Y44" i="94"/>
  <c r="W44" i="94"/>
  <c r="V44" i="94"/>
  <c r="T44" i="94"/>
  <c r="S44" i="94"/>
  <c r="H44" i="94"/>
  <c r="H45" i="94" s="1"/>
  <c r="H42" i="93" s="1"/>
  <c r="F44" i="94"/>
  <c r="F45" i="94" s="1"/>
  <c r="F42" i="93" s="1"/>
  <c r="P4" i="94"/>
  <c r="G44" i="94"/>
  <c r="G45" i="94" s="1"/>
  <c r="G42" i="93" s="1"/>
  <c r="I44" i="94"/>
  <c r="I45" i="94" s="1"/>
  <c r="I42" i="93" s="1"/>
  <c r="J44" i="94"/>
  <c r="J45" i="94" s="1"/>
  <c r="J42" i="93" s="1"/>
  <c r="K44" i="94"/>
  <c r="K45" i="94" s="1"/>
  <c r="K42" i="93" s="1"/>
  <c r="P10" i="94"/>
  <c r="E2" i="95"/>
  <c r="F2" i="95" s="1"/>
  <c r="G2" i="95" s="1"/>
  <c r="H2" i="95" s="1"/>
  <c r="I2" i="95" s="1"/>
  <c r="J2" i="95" s="1"/>
  <c r="K2" i="95" s="1"/>
  <c r="L2" i="95" s="1"/>
  <c r="Z3" i="95"/>
  <c r="D8" i="95"/>
  <c r="K44" i="95"/>
  <c r="K45" i="95" s="1"/>
  <c r="K42" i="92" s="1"/>
  <c r="W9" i="95"/>
  <c r="W10" i="95" s="1"/>
  <c r="I44" i="95"/>
  <c r="I45" i="95" s="1"/>
  <c r="I42" i="92" s="1"/>
  <c r="J44" i="95"/>
  <c r="J45" i="95" s="1"/>
  <c r="J42" i="92" s="1"/>
  <c r="L44" i="95"/>
  <c r="L45" i="95" s="1"/>
  <c r="L42" i="92" s="1"/>
  <c r="P11" i="95"/>
  <c r="Z4" i="95"/>
  <c r="F37" i="95"/>
  <c r="R10" i="95"/>
  <c r="T10" i="95" s="1"/>
  <c r="Q5" i="95"/>
  <c r="E44" i="95"/>
  <c r="E45" i="95" s="1"/>
  <c r="E42" i="92" s="1"/>
  <c r="P5" i="95"/>
  <c r="C44" i="95"/>
  <c r="C45" i="95" s="1"/>
  <c r="C42" i="92" s="1"/>
  <c r="D44" i="95"/>
  <c r="D45" i="95" s="1"/>
  <c r="D42" i="92" s="1"/>
  <c r="W3" i="95"/>
  <c r="W4" i="95" s="1"/>
  <c r="E2" i="94"/>
  <c r="F2" i="94" s="1"/>
  <c r="G2" i="94" s="1"/>
  <c r="H2" i="94" s="1"/>
  <c r="I2" i="94" s="1"/>
  <c r="J2" i="94" s="1"/>
  <c r="K2" i="94" s="1"/>
  <c r="L2" i="94" s="1"/>
  <c r="L4" i="94" s="1"/>
  <c r="F37" i="94"/>
  <c r="D8" i="94"/>
  <c r="Q4" i="94"/>
  <c r="L44" i="94"/>
  <c r="L45" i="94" s="1"/>
  <c r="L42" i="93" s="1"/>
  <c r="W9" i="94"/>
  <c r="W10" i="94" s="1"/>
  <c r="P5" i="94"/>
  <c r="C44" i="94"/>
  <c r="C45" i="94" s="1"/>
  <c r="C42" i="93" s="1"/>
  <c r="D44" i="94"/>
  <c r="D45" i="94" s="1"/>
  <c r="D42" i="93" s="1"/>
  <c r="Q5" i="94"/>
  <c r="E44" i="94"/>
  <c r="E45" i="94" s="1"/>
  <c r="E42" i="93" s="1"/>
  <c r="W3" i="94"/>
  <c r="W4" i="94" s="1"/>
  <c r="P45" i="94" l="1"/>
  <c r="P42" i="93" s="1"/>
  <c r="R45" i="94"/>
  <c r="R42" i="93" s="1"/>
  <c r="C51" i="94"/>
  <c r="C52" i="94"/>
  <c r="Q51" i="94"/>
  <c r="Q52" i="94"/>
  <c r="V45" i="94"/>
  <c r="V42" i="93" s="1"/>
  <c r="K52" i="94"/>
  <c r="K51" i="94"/>
  <c r="X52" i="94"/>
  <c r="X51" i="94"/>
  <c r="Z3" i="94"/>
  <c r="W45" i="94"/>
  <c r="W42" i="93" s="1"/>
  <c r="T52" i="94"/>
  <c r="T51" i="94"/>
  <c r="I52" i="94"/>
  <c r="I51" i="94"/>
  <c r="F51" i="94"/>
  <c r="F52" i="94"/>
  <c r="L52" i="94"/>
  <c r="L51" i="94"/>
  <c r="J52" i="94"/>
  <c r="J51" i="94"/>
  <c r="Y45" i="94"/>
  <c r="Y42" i="93" s="1"/>
  <c r="D51" i="94"/>
  <c r="D52" i="94"/>
  <c r="E51" i="94"/>
  <c r="E52" i="94"/>
  <c r="Y51" i="94"/>
  <c r="Y52" i="94"/>
  <c r="P41" i="93"/>
  <c r="P50" i="94"/>
  <c r="S51" i="94"/>
  <c r="S52" i="94"/>
  <c r="W5" i="94"/>
  <c r="G51" i="94"/>
  <c r="G52" i="94"/>
  <c r="S45" i="94"/>
  <c r="S42" i="93" s="1"/>
  <c r="Q45" i="94"/>
  <c r="X42" i="93"/>
  <c r="X45" i="94"/>
  <c r="R51" i="94"/>
  <c r="R52" i="94"/>
  <c r="T45" i="94"/>
  <c r="T42" i="93" s="1"/>
  <c r="U42" i="93"/>
  <c r="U45" i="94"/>
  <c r="H52" i="94"/>
  <c r="H51" i="94"/>
  <c r="J2" i="92"/>
  <c r="K2" i="92" s="1"/>
  <c r="R11" i="95"/>
  <c r="R5" i="95"/>
  <c r="R4" i="95"/>
  <c r="T4" i="95" s="1"/>
  <c r="R10" i="94"/>
  <c r="T10" i="94" s="1"/>
  <c r="R11" i="94"/>
  <c r="R5" i="94"/>
  <c r="R4" i="94"/>
  <c r="T4" i="94" s="1"/>
  <c r="E8" i="95"/>
  <c r="E8" i="94"/>
  <c r="Z4" i="94"/>
  <c r="P51" i="94" l="1"/>
  <c r="P52" i="94"/>
  <c r="L2" i="92"/>
  <c r="Z4" i="92"/>
  <c r="Z3" i="92"/>
  <c r="W5" i="92"/>
  <c r="F37" i="92"/>
  <c r="F8" i="95"/>
  <c r="F8" i="94"/>
  <c r="G8" i="95" l="1"/>
  <c r="G8" i="94"/>
  <c r="Q37" i="90"/>
  <c r="F37" i="90"/>
  <c r="Q37" i="89"/>
  <c r="F37" i="89"/>
  <c r="H8" i="95" l="1"/>
  <c r="H8" i="94"/>
  <c r="W6" i="93"/>
  <c r="W12" i="89"/>
  <c r="Q11" i="89"/>
  <c r="P11" i="89"/>
  <c r="Z10" i="89"/>
  <c r="Q10" i="89"/>
  <c r="P10" i="89"/>
  <c r="Z9" i="89"/>
  <c r="W9" i="89"/>
  <c r="W10" i="89" s="1"/>
  <c r="W6" i="89"/>
  <c r="Q5" i="89"/>
  <c r="P5" i="89"/>
  <c r="Z4" i="89"/>
  <c r="Q4" i="89"/>
  <c r="P4" i="89"/>
  <c r="Z3" i="89"/>
  <c r="W3" i="89"/>
  <c r="W4" i="89" s="1"/>
  <c r="W12" i="91"/>
  <c r="P11" i="91"/>
  <c r="P10" i="91"/>
  <c r="W9" i="91"/>
  <c r="W10" i="91" s="1"/>
  <c r="W6" i="91"/>
  <c r="Q5" i="91"/>
  <c r="P5" i="91"/>
  <c r="Q4" i="91"/>
  <c r="P4" i="91"/>
  <c r="W3" i="91"/>
  <c r="W4" i="91" s="1"/>
  <c r="W12" i="90"/>
  <c r="W6" i="90"/>
  <c r="I8" i="95" l="1"/>
  <c r="I8" i="94"/>
  <c r="R11" i="89"/>
  <c r="R10" i="89"/>
  <c r="T10" i="89" s="1"/>
  <c r="R4" i="89"/>
  <c r="T4" i="89" s="1"/>
  <c r="R5" i="89"/>
  <c r="R11" i="91"/>
  <c r="R10" i="91"/>
  <c r="T10" i="91" s="1"/>
  <c r="R4" i="91"/>
  <c r="T4" i="91" s="1"/>
  <c r="R5" i="91"/>
  <c r="J8" i="95" l="1"/>
  <c r="K8" i="95" s="1"/>
  <c r="L8" i="95" s="1"/>
  <c r="Q37" i="95" s="1"/>
  <c r="Z9" i="95"/>
  <c r="Z10" i="95"/>
  <c r="J8" i="94"/>
  <c r="C8" i="93"/>
  <c r="C2" i="93"/>
  <c r="C2" i="91"/>
  <c r="D2" i="91" l="1"/>
  <c r="E2" i="91" s="1"/>
  <c r="F2" i="91" s="1"/>
  <c r="G2" i="91" s="1"/>
  <c r="J2" i="91" s="1"/>
  <c r="K2" i="91" s="1"/>
  <c r="L2" i="91" s="1"/>
  <c r="E8" i="91"/>
  <c r="K8" i="94"/>
  <c r="E2" i="93"/>
  <c r="F8" i="93" l="1"/>
  <c r="F2" i="93"/>
  <c r="H2" i="93" s="1"/>
  <c r="F8" i="91"/>
  <c r="Z3" i="91"/>
  <c r="Z4" i="91"/>
  <c r="F37" i="91"/>
  <c r="W5" i="91"/>
  <c r="I2" i="93"/>
  <c r="J2" i="93" s="1"/>
  <c r="K2" i="93" s="1"/>
  <c r="L2" i="93" s="1"/>
  <c r="L4" i="93" s="1"/>
  <c r="Z3" i="93"/>
  <c r="Z4" i="93"/>
  <c r="L8" i="94"/>
  <c r="Q37" i="94"/>
  <c r="H8" i="93" l="1"/>
  <c r="I8" i="93" s="1"/>
  <c r="W5" i="93"/>
  <c r="L10" i="94"/>
  <c r="W11" i="94"/>
  <c r="G8" i="91"/>
  <c r="Z9" i="94"/>
  <c r="Z10" i="94"/>
  <c r="C8" i="90"/>
  <c r="C2" i="90"/>
  <c r="J8" i="93" l="1"/>
  <c r="K8" i="93" s="1"/>
  <c r="L8" i="93" s="1"/>
  <c r="W11" i="93"/>
  <c r="Z10" i="93"/>
  <c r="Z9" i="93"/>
  <c r="H8" i="91"/>
  <c r="D8" i="90"/>
  <c r="E8" i="90" s="1"/>
  <c r="F8" i="90" s="1"/>
  <c r="G8" i="90" s="1"/>
  <c r="H8" i="90" s="1"/>
  <c r="I8" i="90" s="1"/>
  <c r="J8" i="90" s="1"/>
  <c r="K8" i="90" s="1"/>
  <c r="L8" i="90" s="1"/>
  <c r="D2" i="90"/>
  <c r="E2" i="90" s="1"/>
  <c r="F2" i="90" s="1"/>
  <c r="G2" i="90" s="1"/>
  <c r="H2" i="90" s="1"/>
  <c r="I2" i="90" s="1"/>
  <c r="J2" i="90" s="1"/>
  <c r="K2" i="90" s="1"/>
  <c r="L2" i="90" s="1"/>
  <c r="I8" i="91" l="1"/>
  <c r="Z3" i="90"/>
  <c r="Z9" i="90"/>
  <c r="Z4" i="90"/>
  <c r="P5" i="90"/>
  <c r="Z10" i="90"/>
  <c r="P4" i="90"/>
  <c r="C2" i="89"/>
  <c r="C8" i="89"/>
  <c r="D8" i="89" s="1"/>
  <c r="E8" i="89" s="1"/>
  <c r="F8" i="89" s="1"/>
  <c r="G8" i="89" s="1"/>
  <c r="H8" i="89" s="1"/>
  <c r="I8" i="89" s="1"/>
  <c r="J8" i="89" s="1"/>
  <c r="K8" i="89" s="1"/>
  <c r="L8" i="89" s="1"/>
  <c r="J8" i="91" l="1"/>
  <c r="Q1" i="46"/>
  <c r="K8" i="91" l="1"/>
  <c r="D2" i="89"/>
  <c r="E2" i="89" s="1"/>
  <c r="F2" i="89" s="1"/>
  <c r="G2" i="89" s="1"/>
  <c r="H2" i="89" s="1"/>
  <c r="I2" i="89" s="1"/>
  <c r="J2" i="89" s="1"/>
  <c r="K2" i="89" s="1"/>
  <c r="L2" i="89" s="1"/>
  <c r="L8" i="91" l="1"/>
  <c r="W11" i="91"/>
  <c r="Z10" i="91"/>
  <c r="Q1" i="4"/>
  <c r="Z9" i="91" l="1"/>
  <c r="Q37" i="91"/>
  <c r="Q1" i="25"/>
  <c r="Q1" i="78" l="1"/>
  <c r="B3" i="78" l="1"/>
  <c r="C3" i="78"/>
  <c r="D3" i="78"/>
  <c r="E3" i="78"/>
  <c r="F3" i="78"/>
  <c r="G3" i="78"/>
  <c r="H3" i="78"/>
  <c r="I3" i="78"/>
  <c r="J3" i="78"/>
  <c r="K3" i="78"/>
  <c r="B4" i="78"/>
  <c r="C4" i="78"/>
  <c r="D4" i="78"/>
  <c r="E4" i="78"/>
  <c r="F4" i="78"/>
  <c r="G4" i="78"/>
  <c r="H4" i="78"/>
  <c r="I4" i="78"/>
  <c r="J4" i="78"/>
  <c r="K4" i="78"/>
  <c r="B5" i="78"/>
  <c r="C5" i="78"/>
  <c r="D5" i="78"/>
  <c r="E5" i="78"/>
  <c r="F5" i="78"/>
  <c r="G5" i="78"/>
  <c r="H5" i="78"/>
  <c r="I5" i="78"/>
  <c r="J5" i="78"/>
  <c r="K5" i="78"/>
  <c r="B6" i="78"/>
  <c r="O6" i="78" s="1"/>
  <c r="C6" i="78"/>
  <c r="D6" i="78"/>
  <c r="E6" i="78"/>
  <c r="F6" i="78"/>
  <c r="G6" i="78"/>
  <c r="H6" i="78"/>
  <c r="I6" i="78"/>
  <c r="J6" i="78"/>
  <c r="K6" i="78"/>
  <c r="B7" i="78"/>
  <c r="C7" i="78"/>
  <c r="D7" i="78"/>
  <c r="E7" i="78"/>
  <c r="F7" i="78"/>
  <c r="G7" i="78"/>
  <c r="H7" i="78"/>
  <c r="I7" i="78"/>
  <c r="J7" i="78"/>
  <c r="K7" i="78"/>
  <c r="B8" i="78"/>
  <c r="C8" i="78"/>
  <c r="D8" i="78"/>
  <c r="E8" i="78"/>
  <c r="F8" i="78"/>
  <c r="G8" i="78"/>
  <c r="H8" i="78"/>
  <c r="I8" i="78"/>
  <c r="J8" i="78"/>
  <c r="K8" i="78"/>
  <c r="B9" i="78"/>
  <c r="C9" i="78"/>
  <c r="D9" i="78"/>
  <c r="E9" i="78"/>
  <c r="F9" i="78"/>
  <c r="G9" i="78"/>
  <c r="H9" i="78"/>
  <c r="I9" i="78"/>
  <c r="J9" i="78"/>
  <c r="K9" i="78"/>
  <c r="B10" i="78"/>
  <c r="C10" i="78"/>
  <c r="D10" i="78"/>
  <c r="E10" i="78"/>
  <c r="F10" i="78"/>
  <c r="G10" i="78"/>
  <c r="H10" i="78"/>
  <c r="I10" i="78"/>
  <c r="J10" i="78"/>
  <c r="K10" i="78"/>
  <c r="B11" i="78"/>
  <c r="C11" i="78"/>
  <c r="D11" i="78"/>
  <c r="E11" i="78"/>
  <c r="F11" i="78"/>
  <c r="G11" i="78"/>
  <c r="H11" i="78"/>
  <c r="I11" i="78"/>
  <c r="J11" i="78"/>
  <c r="K11" i="78"/>
  <c r="B12" i="78"/>
  <c r="C12" i="78"/>
  <c r="D12" i="78"/>
  <c r="E12" i="78"/>
  <c r="F12" i="78"/>
  <c r="G12" i="78"/>
  <c r="H12" i="78"/>
  <c r="I12" i="78"/>
  <c r="J12" i="78"/>
  <c r="K12" i="78"/>
  <c r="B13" i="78"/>
  <c r="C13" i="78"/>
  <c r="D13" i="78"/>
  <c r="E13" i="78"/>
  <c r="F13" i="78"/>
  <c r="G13" i="78"/>
  <c r="H13" i="78"/>
  <c r="I13" i="78"/>
  <c r="J13" i="78"/>
  <c r="K13" i="78"/>
  <c r="B14" i="78"/>
  <c r="C14" i="78"/>
  <c r="D14" i="78"/>
  <c r="E14" i="78"/>
  <c r="F14" i="78"/>
  <c r="G14" i="78"/>
  <c r="H14" i="78"/>
  <c r="I14" i="78"/>
  <c r="J14" i="78"/>
  <c r="K14" i="78"/>
  <c r="B15" i="78"/>
  <c r="C15" i="78"/>
  <c r="D15" i="78"/>
  <c r="E15" i="78"/>
  <c r="F15" i="78"/>
  <c r="G15" i="78"/>
  <c r="H15" i="78"/>
  <c r="I15" i="78"/>
  <c r="J15" i="78"/>
  <c r="K15" i="78"/>
  <c r="B16" i="78"/>
  <c r="C16" i="78"/>
  <c r="D16" i="78"/>
  <c r="E16" i="78"/>
  <c r="F16" i="78"/>
  <c r="G16" i="78"/>
  <c r="H16" i="78"/>
  <c r="I16" i="78"/>
  <c r="J16" i="78"/>
  <c r="K16" i="78"/>
  <c r="B17" i="78"/>
  <c r="C17" i="78"/>
  <c r="D17" i="78"/>
  <c r="E17" i="78"/>
  <c r="F17" i="78"/>
  <c r="G17" i="78"/>
  <c r="H17" i="78"/>
  <c r="I17" i="78"/>
  <c r="J17" i="78"/>
  <c r="K17" i="78"/>
  <c r="B18" i="78"/>
  <c r="C18" i="78"/>
  <c r="D18" i="78"/>
  <c r="E18" i="78"/>
  <c r="F18" i="78"/>
  <c r="G18" i="78"/>
  <c r="H18" i="78"/>
  <c r="I18" i="78"/>
  <c r="J18" i="78"/>
  <c r="K18" i="78"/>
  <c r="B19" i="78"/>
  <c r="C19" i="78"/>
  <c r="D19" i="78"/>
  <c r="E19" i="78"/>
  <c r="F19" i="78"/>
  <c r="G19" i="78"/>
  <c r="H19" i="78"/>
  <c r="I19" i="78"/>
  <c r="J19" i="78"/>
  <c r="K19" i="78"/>
  <c r="B20" i="78"/>
  <c r="C20" i="78"/>
  <c r="D20" i="78"/>
  <c r="E20" i="78"/>
  <c r="F20" i="78"/>
  <c r="G20" i="78"/>
  <c r="H20" i="78"/>
  <c r="I20" i="78"/>
  <c r="J20" i="78"/>
  <c r="K20" i="78"/>
  <c r="B21" i="78"/>
  <c r="C21" i="78"/>
  <c r="D21" i="78"/>
  <c r="E21" i="78"/>
  <c r="F21" i="78"/>
  <c r="G21" i="78"/>
  <c r="H21" i="78"/>
  <c r="I21" i="78"/>
  <c r="J21" i="78"/>
  <c r="K21" i="78"/>
  <c r="B22" i="78"/>
  <c r="C22" i="78"/>
  <c r="D22" i="78"/>
  <c r="E22" i="78"/>
  <c r="F22" i="78"/>
  <c r="G22" i="78"/>
  <c r="H22" i="78"/>
  <c r="I22" i="78"/>
  <c r="J22" i="78"/>
  <c r="K22" i="78"/>
  <c r="B23" i="78"/>
  <c r="C23" i="78"/>
  <c r="D23" i="78"/>
  <c r="E23" i="78"/>
  <c r="F23" i="78"/>
  <c r="G23" i="78"/>
  <c r="H23" i="78"/>
  <c r="I23" i="78"/>
  <c r="J23" i="78"/>
  <c r="K23" i="78"/>
  <c r="B24" i="78"/>
  <c r="C24" i="78"/>
  <c r="D24" i="78"/>
  <c r="E24" i="78"/>
  <c r="F24" i="78"/>
  <c r="G24" i="78"/>
  <c r="H24" i="78"/>
  <c r="I24" i="78"/>
  <c r="J24" i="78"/>
  <c r="K24" i="78"/>
  <c r="B25" i="78"/>
  <c r="C25" i="78"/>
  <c r="D25" i="78"/>
  <c r="E25" i="78"/>
  <c r="F25" i="78"/>
  <c r="G25" i="78"/>
  <c r="H25" i="78"/>
  <c r="I25" i="78"/>
  <c r="J25" i="78"/>
  <c r="K25" i="78"/>
  <c r="B26" i="78"/>
  <c r="C26" i="78"/>
  <c r="D26" i="78"/>
  <c r="E26" i="78"/>
  <c r="F26" i="78"/>
  <c r="G26" i="78"/>
  <c r="H26" i="78"/>
  <c r="I26" i="78"/>
  <c r="J26" i="78"/>
  <c r="K26" i="78"/>
  <c r="B27" i="78"/>
  <c r="C27" i="78"/>
  <c r="D27" i="78"/>
  <c r="E27" i="78"/>
  <c r="F27" i="78"/>
  <c r="G27" i="78"/>
  <c r="H27" i="78"/>
  <c r="I27" i="78"/>
  <c r="J27" i="78"/>
  <c r="K27" i="78"/>
  <c r="B28" i="78"/>
  <c r="C28" i="78"/>
  <c r="D28" i="78"/>
  <c r="E28" i="78"/>
  <c r="F28" i="78"/>
  <c r="G28" i="78"/>
  <c r="H28" i="78"/>
  <c r="I28" i="78"/>
  <c r="J28" i="78"/>
  <c r="K28" i="78"/>
  <c r="B29" i="78"/>
  <c r="C29" i="78"/>
  <c r="D29" i="78"/>
  <c r="E29" i="78"/>
  <c r="F29" i="78"/>
  <c r="G29" i="78"/>
  <c r="H29" i="78"/>
  <c r="I29" i="78"/>
  <c r="J29" i="78"/>
  <c r="K29" i="78"/>
  <c r="B30" i="78"/>
  <c r="C30" i="78"/>
  <c r="D30" i="78"/>
  <c r="E30" i="78"/>
  <c r="F30" i="78"/>
  <c r="G30" i="78"/>
  <c r="H30" i="78"/>
  <c r="I30" i="78"/>
  <c r="J30" i="78"/>
  <c r="K30" i="78"/>
  <c r="B31" i="78"/>
  <c r="C31" i="78"/>
  <c r="D31" i="78"/>
  <c r="E31" i="78"/>
  <c r="F31" i="78"/>
  <c r="G31" i="78"/>
  <c r="H31" i="78"/>
  <c r="I31" i="78"/>
  <c r="J31" i="78"/>
  <c r="K31" i="78"/>
  <c r="B32" i="78"/>
  <c r="C32" i="78"/>
  <c r="D32" i="78"/>
  <c r="E32" i="78"/>
  <c r="F32" i="78"/>
  <c r="G32" i="78"/>
  <c r="H32" i="78"/>
  <c r="I32" i="78"/>
  <c r="J32" i="78"/>
  <c r="K32" i="78"/>
  <c r="B33" i="78"/>
  <c r="C33" i="78"/>
  <c r="D33" i="78"/>
  <c r="E33" i="78"/>
  <c r="F33" i="78"/>
  <c r="G33" i="78"/>
  <c r="H33" i="78"/>
  <c r="I33" i="78"/>
  <c r="J33" i="78"/>
  <c r="K33" i="78"/>
  <c r="B34" i="78"/>
  <c r="C34" i="78"/>
  <c r="D34" i="78"/>
  <c r="E34" i="78"/>
  <c r="F34" i="78"/>
  <c r="G34" i="78"/>
  <c r="H34" i="78"/>
  <c r="I34" i="78"/>
  <c r="J34" i="78"/>
  <c r="K34" i="78"/>
  <c r="B35" i="78"/>
  <c r="C35" i="78"/>
  <c r="D35" i="78"/>
  <c r="E35" i="78"/>
  <c r="F35" i="78"/>
  <c r="G35" i="78"/>
  <c r="H35" i="78"/>
  <c r="I35" i="78"/>
  <c r="J35" i="78"/>
  <c r="K35" i="78"/>
  <c r="B36" i="78"/>
  <c r="C36" i="78"/>
  <c r="D36" i="78"/>
  <c r="E36" i="78"/>
  <c r="F36" i="78"/>
  <c r="G36" i="78"/>
  <c r="H36" i="78"/>
  <c r="I36" i="78"/>
  <c r="J36" i="78"/>
  <c r="K36" i="78"/>
  <c r="B37" i="78"/>
  <c r="C37" i="78"/>
  <c r="D37" i="78"/>
  <c r="E37" i="78"/>
  <c r="F37" i="78"/>
  <c r="G37" i="78"/>
  <c r="H37" i="78"/>
  <c r="I37" i="78"/>
  <c r="J37" i="78"/>
  <c r="K37" i="78"/>
  <c r="B38" i="78"/>
  <c r="C38" i="78"/>
  <c r="D38" i="78"/>
  <c r="E38" i="78"/>
  <c r="F38" i="78"/>
  <c r="G38" i="78"/>
  <c r="H38" i="78"/>
  <c r="I38" i="78"/>
  <c r="J38" i="78"/>
  <c r="K38" i="78"/>
  <c r="B39" i="78"/>
  <c r="C39" i="78"/>
  <c r="D39" i="78"/>
  <c r="E39" i="78"/>
  <c r="F39" i="78"/>
  <c r="G39" i="78"/>
  <c r="H39" i="78"/>
  <c r="I39" i="78"/>
  <c r="J39" i="78"/>
  <c r="K39" i="78"/>
  <c r="B40" i="78"/>
  <c r="C40" i="78"/>
  <c r="D40" i="78"/>
  <c r="E40" i="78"/>
  <c r="F40" i="78"/>
  <c r="G40" i="78"/>
  <c r="H40" i="78"/>
  <c r="I40" i="78"/>
  <c r="J40" i="78"/>
  <c r="K40" i="78"/>
  <c r="B41" i="78"/>
  <c r="C41" i="78"/>
  <c r="D41" i="78"/>
  <c r="E41" i="78"/>
  <c r="F41" i="78"/>
  <c r="G41" i="78"/>
  <c r="H41" i="78"/>
  <c r="I41" i="78"/>
  <c r="J41" i="78"/>
  <c r="K41" i="78"/>
  <c r="B42" i="78"/>
  <c r="C42" i="78"/>
  <c r="D42" i="78"/>
  <c r="E42" i="78"/>
  <c r="F42" i="78"/>
  <c r="G42" i="78"/>
  <c r="H42" i="78"/>
  <c r="I42" i="78"/>
  <c r="J42" i="78"/>
  <c r="K42" i="78"/>
  <c r="B43" i="78"/>
  <c r="C43" i="78"/>
  <c r="D43" i="78"/>
  <c r="E43" i="78"/>
  <c r="F43" i="78"/>
  <c r="G43" i="78"/>
  <c r="H43" i="78"/>
  <c r="I43" i="78"/>
  <c r="J43" i="78"/>
  <c r="K43" i="78"/>
  <c r="B44" i="78"/>
  <c r="C44" i="78"/>
  <c r="D44" i="78"/>
  <c r="E44" i="78"/>
  <c r="F44" i="78"/>
  <c r="G44" i="78"/>
  <c r="H44" i="78"/>
  <c r="I44" i="78"/>
  <c r="J44" i="78"/>
  <c r="K44" i="78"/>
  <c r="B45" i="78"/>
  <c r="C45" i="78"/>
  <c r="D45" i="78"/>
  <c r="E45" i="78"/>
  <c r="F45" i="78"/>
  <c r="G45" i="78"/>
  <c r="H45" i="78"/>
  <c r="I45" i="78"/>
  <c r="J45" i="78"/>
  <c r="K45" i="78"/>
  <c r="B46" i="78"/>
  <c r="C46" i="78"/>
  <c r="D46" i="78"/>
  <c r="E46" i="78"/>
  <c r="F46" i="78"/>
  <c r="G46" i="78"/>
  <c r="H46" i="78"/>
  <c r="I46" i="78"/>
  <c r="J46" i="78"/>
  <c r="K46" i="78"/>
  <c r="B47" i="78"/>
  <c r="C47" i="78"/>
  <c r="D47" i="78"/>
  <c r="E47" i="78"/>
  <c r="F47" i="78"/>
  <c r="G47" i="78"/>
  <c r="H47" i="78"/>
  <c r="I47" i="78"/>
  <c r="J47" i="78"/>
  <c r="K47" i="78"/>
  <c r="B48" i="78"/>
  <c r="C48" i="78"/>
  <c r="D48" i="78"/>
  <c r="E48" i="78"/>
  <c r="F48" i="78"/>
  <c r="G48" i="78"/>
  <c r="H48" i="78"/>
  <c r="I48" i="78"/>
  <c r="J48" i="78"/>
  <c r="K48" i="78"/>
  <c r="B49" i="78"/>
  <c r="C49" i="78"/>
  <c r="D49" i="78"/>
  <c r="E49" i="78"/>
  <c r="F49" i="78"/>
  <c r="G49" i="78"/>
  <c r="H49" i="78"/>
  <c r="I49" i="78"/>
  <c r="J49" i="78"/>
  <c r="K49" i="78"/>
  <c r="B50" i="78"/>
  <c r="C50" i="78"/>
  <c r="D50" i="78"/>
  <c r="E50" i="78"/>
  <c r="F50" i="78"/>
  <c r="G50" i="78"/>
  <c r="H50" i="78"/>
  <c r="I50" i="78"/>
  <c r="J50" i="78"/>
  <c r="K50" i="78"/>
  <c r="B51" i="78"/>
  <c r="C51" i="78"/>
  <c r="D51" i="78"/>
  <c r="E51" i="78"/>
  <c r="F51" i="78"/>
  <c r="G51" i="78"/>
  <c r="H51" i="78"/>
  <c r="I51" i="78"/>
  <c r="J51" i="78"/>
  <c r="K51" i="78"/>
  <c r="B52" i="78"/>
  <c r="C52" i="78"/>
  <c r="D52" i="78"/>
  <c r="E52" i="78"/>
  <c r="F52" i="78"/>
  <c r="G52" i="78"/>
  <c r="H52" i="78"/>
  <c r="I52" i="78"/>
  <c r="J52" i="78"/>
  <c r="K52" i="78"/>
  <c r="B53" i="78"/>
  <c r="C53" i="78"/>
  <c r="D53" i="78"/>
  <c r="E53" i="78"/>
  <c r="F53" i="78"/>
  <c r="G53" i="78"/>
  <c r="H53" i="78"/>
  <c r="I53" i="78"/>
  <c r="J53" i="78"/>
  <c r="K53" i="78"/>
  <c r="B54" i="78"/>
  <c r="C54" i="78"/>
  <c r="D54" i="78"/>
  <c r="E54" i="78"/>
  <c r="F54" i="78"/>
  <c r="G54" i="78"/>
  <c r="H54" i="78"/>
  <c r="I54" i="78"/>
  <c r="J54" i="78"/>
  <c r="K54" i="78"/>
  <c r="B55" i="78"/>
  <c r="C55" i="78"/>
  <c r="D55" i="78"/>
  <c r="E55" i="78"/>
  <c r="F55" i="78"/>
  <c r="G55" i="78"/>
  <c r="H55" i="78"/>
  <c r="I55" i="78"/>
  <c r="J55" i="78"/>
  <c r="K55" i="78"/>
  <c r="B56" i="78"/>
  <c r="C56" i="78"/>
  <c r="D56" i="78"/>
  <c r="E56" i="78"/>
  <c r="F56" i="78"/>
  <c r="G56" i="78"/>
  <c r="H56" i="78"/>
  <c r="I56" i="78"/>
  <c r="J56" i="78"/>
  <c r="K56" i="78"/>
  <c r="B57" i="78"/>
  <c r="C57" i="78"/>
  <c r="D57" i="78"/>
  <c r="E57" i="78"/>
  <c r="F57" i="78"/>
  <c r="G57" i="78"/>
  <c r="H57" i="78"/>
  <c r="I57" i="78"/>
  <c r="J57" i="78"/>
  <c r="K57" i="78"/>
  <c r="B58" i="78"/>
  <c r="C58" i="78"/>
  <c r="D58" i="78"/>
  <c r="E58" i="78"/>
  <c r="F58" i="78"/>
  <c r="G58" i="78"/>
  <c r="H58" i="78"/>
  <c r="I58" i="78"/>
  <c r="J58" i="78"/>
  <c r="K58" i="78"/>
  <c r="B59" i="78"/>
  <c r="C59" i="78"/>
  <c r="D59" i="78"/>
  <c r="E59" i="78"/>
  <c r="F59" i="78"/>
  <c r="G59" i="78"/>
  <c r="H59" i="78"/>
  <c r="I59" i="78"/>
  <c r="J59" i="78"/>
  <c r="K59" i="78"/>
  <c r="B60" i="78"/>
  <c r="C60" i="78"/>
  <c r="D60" i="78"/>
  <c r="E60" i="78"/>
  <c r="F60" i="78"/>
  <c r="G60" i="78"/>
  <c r="H60" i="78"/>
  <c r="I60" i="78"/>
  <c r="J60" i="78"/>
  <c r="K60" i="78"/>
  <c r="B61" i="78"/>
  <c r="C61" i="78"/>
  <c r="D61" i="78"/>
  <c r="E61" i="78"/>
  <c r="F61" i="78"/>
  <c r="G61" i="78"/>
  <c r="H61" i="78"/>
  <c r="I61" i="78"/>
  <c r="J61" i="78"/>
  <c r="K61" i="78"/>
  <c r="B62" i="78"/>
  <c r="C62" i="78"/>
  <c r="D62" i="78"/>
  <c r="E62" i="78"/>
  <c r="F62" i="78"/>
  <c r="G62" i="78"/>
  <c r="H62" i="78"/>
  <c r="I62" i="78"/>
  <c r="J62" i="78"/>
  <c r="K62" i="78"/>
  <c r="B63" i="78"/>
  <c r="C63" i="78"/>
  <c r="D63" i="78"/>
  <c r="E63" i="78"/>
  <c r="F63" i="78"/>
  <c r="G63" i="78"/>
  <c r="H63" i="78"/>
  <c r="I63" i="78"/>
  <c r="J63" i="78"/>
  <c r="K63" i="78"/>
  <c r="B64" i="78"/>
  <c r="C64" i="78"/>
  <c r="D64" i="78"/>
  <c r="E64" i="78"/>
  <c r="F64" i="78"/>
  <c r="G64" i="78"/>
  <c r="H64" i="78"/>
  <c r="I64" i="78"/>
  <c r="J64" i="78"/>
  <c r="K64" i="78"/>
  <c r="B65" i="78"/>
  <c r="C65" i="78"/>
  <c r="D65" i="78"/>
  <c r="E65" i="78"/>
  <c r="F65" i="78"/>
  <c r="G65" i="78"/>
  <c r="H65" i="78"/>
  <c r="I65" i="78"/>
  <c r="J65" i="78"/>
  <c r="K65" i="78"/>
  <c r="B66" i="78"/>
  <c r="C66" i="78"/>
  <c r="D66" i="78"/>
  <c r="E66" i="78"/>
  <c r="F66" i="78"/>
  <c r="G66" i="78"/>
  <c r="H66" i="78"/>
  <c r="I66" i="78"/>
  <c r="J66" i="78"/>
  <c r="K66" i="78"/>
  <c r="B67" i="78"/>
  <c r="C67" i="78"/>
  <c r="D67" i="78"/>
  <c r="E67" i="78"/>
  <c r="F67" i="78"/>
  <c r="G67" i="78"/>
  <c r="H67" i="78"/>
  <c r="I67" i="78"/>
  <c r="J67" i="78"/>
  <c r="K67" i="78"/>
  <c r="B68" i="78"/>
  <c r="C68" i="78"/>
  <c r="D68" i="78"/>
  <c r="E68" i="78"/>
  <c r="F68" i="78"/>
  <c r="G68" i="78"/>
  <c r="H68" i="78"/>
  <c r="I68" i="78"/>
  <c r="J68" i="78"/>
  <c r="K68" i="78"/>
  <c r="B69" i="78"/>
  <c r="C69" i="78"/>
  <c r="D69" i="78"/>
  <c r="E69" i="78"/>
  <c r="F69" i="78"/>
  <c r="G69" i="78"/>
  <c r="H69" i="78"/>
  <c r="I69" i="78"/>
  <c r="J69" i="78"/>
  <c r="K69" i="78"/>
  <c r="B70" i="78"/>
  <c r="C70" i="78"/>
  <c r="D70" i="78"/>
  <c r="E70" i="78"/>
  <c r="F70" i="78"/>
  <c r="G70" i="78"/>
  <c r="H70" i="78"/>
  <c r="I70" i="78"/>
  <c r="J70" i="78"/>
  <c r="K70" i="78"/>
  <c r="B71" i="78"/>
  <c r="C71" i="78"/>
  <c r="D71" i="78"/>
  <c r="E71" i="78"/>
  <c r="F71" i="78"/>
  <c r="G71" i="78"/>
  <c r="H71" i="78"/>
  <c r="I71" i="78"/>
  <c r="J71" i="78"/>
  <c r="K71" i="78"/>
  <c r="B72" i="78"/>
  <c r="C72" i="78"/>
  <c r="D72" i="78"/>
  <c r="E72" i="78"/>
  <c r="F72" i="78"/>
  <c r="G72" i="78"/>
  <c r="H72" i="78"/>
  <c r="I72" i="78"/>
  <c r="J72" i="78"/>
  <c r="K72" i="78"/>
  <c r="B73" i="78"/>
  <c r="C73" i="78"/>
  <c r="D73" i="78"/>
  <c r="E73" i="78"/>
  <c r="F73" i="78"/>
  <c r="G73" i="78"/>
  <c r="H73" i="78"/>
  <c r="I73" i="78"/>
  <c r="J73" i="78"/>
  <c r="K73" i="78"/>
  <c r="B74" i="78"/>
  <c r="C74" i="78"/>
  <c r="D74" i="78"/>
  <c r="E74" i="78"/>
  <c r="F74" i="78"/>
  <c r="G74" i="78"/>
  <c r="H74" i="78"/>
  <c r="I74" i="78"/>
  <c r="J74" i="78"/>
  <c r="K74" i="78"/>
  <c r="B75" i="78"/>
  <c r="C75" i="78"/>
  <c r="D75" i="78"/>
  <c r="E75" i="78"/>
  <c r="F75" i="78"/>
  <c r="G75" i="78"/>
  <c r="H75" i="78"/>
  <c r="I75" i="78"/>
  <c r="J75" i="78"/>
  <c r="K75" i="78"/>
  <c r="B76" i="78"/>
  <c r="C76" i="78"/>
  <c r="D76" i="78"/>
  <c r="E76" i="78"/>
  <c r="F76" i="78"/>
  <c r="G76" i="78"/>
  <c r="H76" i="78"/>
  <c r="I76" i="78"/>
  <c r="J76" i="78"/>
  <c r="K76" i="78"/>
  <c r="B77" i="78"/>
  <c r="C77" i="78"/>
  <c r="D77" i="78"/>
  <c r="E77" i="78"/>
  <c r="F77" i="78"/>
  <c r="G77" i="78"/>
  <c r="H77" i="78"/>
  <c r="I77" i="78"/>
  <c r="J77" i="78"/>
  <c r="K77" i="78"/>
  <c r="B78" i="78"/>
  <c r="C78" i="78"/>
  <c r="D78" i="78"/>
  <c r="E78" i="78"/>
  <c r="F78" i="78"/>
  <c r="G78" i="78"/>
  <c r="H78" i="78"/>
  <c r="I78" i="78"/>
  <c r="J78" i="78"/>
  <c r="K78" i="78"/>
  <c r="B79" i="78"/>
  <c r="C79" i="78"/>
  <c r="D79" i="78"/>
  <c r="E79" i="78"/>
  <c r="F79" i="78"/>
  <c r="G79" i="78"/>
  <c r="H79" i="78"/>
  <c r="I79" i="78"/>
  <c r="J79" i="78"/>
  <c r="K79" i="78"/>
  <c r="B80" i="78"/>
  <c r="C80" i="78"/>
  <c r="D80" i="78"/>
  <c r="E80" i="78"/>
  <c r="F80" i="78"/>
  <c r="G80" i="78"/>
  <c r="H80" i="78"/>
  <c r="I80" i="78"/>
  <c r="J80" i="78"/>
  <c r="K80" i="78"/>
  <c r="B81" i="78"/>
  <c r="C81" i="78"/>
  <c r="D81" i="78"/>
  <c r="E81" i="78"/>
  <c r="F81" i="78"/>
  <c r="G81" i="78"/>
  <c r="H81" i="78"/>
  <c r="I81" i="78"/>
  <c r="J81" i="78"/>
  <c r="K81" i="78"/>
  <c r="B82" i="78"/>
  <c r="C82" i="78"/>
  <c r="D82" i="78"/>
  <c r="E82" i="78"/>
  <c r="F82" i="78"/>
  <c r="G82" i="78"/>
  <c r="H82" i="78"/>
  <c r="I82" i="78"/>
  <c r="J82" i="78"/>
  <c r="K82" i="78"/>
  <c r="B83" i="78"/>
  <c r="C83" i="78"/>
  <c r="D83" i="78"/>
  <c r="E83" i="78"/>
  <c r="F83" i="78"/>
  <c r="G83" i="78"/>
  <c r="H83" i="78"/>
  <c r="I83" i="78"/>
  <c r="J83" i="78"/>
  <c r="K83" i="78"/>
  <c r="B84" i="78"/>
  <c r="C84" i="78"/>
  <c r="D84" i="78"/>
  <c r="E84" i="78"/>
  <c r="F84" i="78"/>
  <c r="G84" i="78"/>
  <c r="H84" i="78"/>
  <c r="I84" i="78"/>
  <c r="J84" i="78"/>
  <c r="K84" i="78"/>
  <c r="B85" i="78"/>
  <c r="C85" i="78"/>
  <c r="D85" i="78"/>
  <c r="E85" i="78"/>
  <c r="F85" i="78"/>
  <c r="G85" i="78"/>
  <c r="H85" i="78"/>
  <c r="I85" i="78"/>
  <c r="J85" i="78"/>
  <c r="K85" i="78"/>
  <c r="B86" i="78"/>
  <c r="C86" i="78"/>
  <c r="D86" i="78"/>
  <c r="E86" i="78"/>
  <c r="F86" i="78"/>
  <c r="G86" i="78"/>
  <c r="H86" i="78"/>
  <c r="I86" i="78"/>
  <c r="J86" i="78"/>
  <c r="K86" i="78"/>
  <c r="B87" i="78"/>
  <c r="C87" i="78"/>
  <c r="D87" i="78"/>
  <c r="E87" i="78"/>
  <c r="F87" i="78"/>
  <c r="G87" i="78"/>
  <c r="H87" i="78"/>
  <c r="I87" i="78"/>
  <c r="J87" i="78"/>
  <c r="K87" i="78"/>
  <c r="B88" i="78"/>
  <c r="C88" i="78"/>
  <c r="D88" i="78"/>
  <c r="E88" i="78"/>
  <c r="F88" i="78"/>
  <c r="G88" i="78"/>
  <c r="H88" i="78"/>
  <c r="I88" i="78"/>
  <c r="J88" i="78"/>
  <c r="K88" i="78"/>
  <c r="K2" i="78"/>
  <c r="J2" i="78"/>
  <c r="I2" i="78"/>
  <c r="H2" i="78"/>
  <c r="G2" i="78"/>
  <c r="F2" i="78"/>
  <c r="E2" i="78"/>
  <c r="D2" i="78"/>
  <c r="C2" i="78"/>
  <c r="B2" i="78"/>
  <c r="O4" i="78" l="1"/>
  <c r="O87" i="78"/>
  <c r="O85" i="78"/>
  <c r="O81" i="78"/>
  <c r="O79" i="78"/>
  <c r="O75" i="78"/>
  <c r="O67" i="78"/>
  <c r="O63" i="78"/>
  <c r="O88" i="78"/>
  <c r="O86" i="78"/>
  <c r="O84" i="78"/>
  <c r="O82" i="78"/>
  <c r="O80" i="78"/>
  <c r="O78" i="78"/>
  <c r="O76" i="78"/>
  <c r="O74" i="78"/>
  <c r="O72" i="78"/>
  <c r="O70" i="78"/>
  <c r="O68" i="78"/>
  <c r="O66" i="78"/>
  <c r="O64" i="78"/>
  <c r="O62" i="78"/>
  <c r="O60" i="78"/>
  <c r="O58" i="78"/>
  <c r="O56" i="78"/>
  <c r="O54" i="78"/>
  <c r="O52" i="78"/>
  <c r="O50" i="78"/>
  <c r="O48" i="78"/>
  <c r="O46" i="78"/>
  <c r="O44" i="78"/>
  <c r="O42" i="78"/>
  <c r="O40" i="78"/>
  <c r="O38" i="78"/>
  <c r="O36" i="78"/>
  <c r="O34" i="78"/>
  <c r="O32" i="78"/>
  <c r="O30" i="78"/>
  <c r="O28" i="78"/>
  <c r="O26" i="78"/>
  <c r="O24" i="78"/>
  <c r="O22" i="78"/>
  <c r="O20" i="78"/>
  <c r="O18" i="78"/>
  <c r="O16" i="78"/>
  <c r="O14" i="78"/>
  <c r="O12" i="78"/>
  <c r="O10" i="78"/>
  <c r="O8" i="78"/>
  <c r="O2" i="78"/>
  <c r="O83" i="78"/>
  <c r="O77" i="78"/>
  <c r="O73" i="78"/>
  <c r="O71" i="78"/>
  <c r="O69" i="78"/>
  <c r="O65" i="78"/>
  <c r="O61" i="78"/>
  <c r="O59" i="78"/>
  <c r="O57" i="78"/>
  <c r="O55" i="78"/>
  <c r="O53" i="78"/>
  <c r="O51" i="78"/>
  <c r="O49" i="78"/>
  <c r="O47" i="78"/>
  <c r="O45" i="78"/>
  <c r="O43" i="78"/>
  <c r="O41" i="78"/>
  <c r="O39" i="78"/>
  <c r="O37" i="78"/>
  <c r="O35" i="78"/>
  <c r="O33" i="78"/>
  <c r="O31" i="78"/>
  <c r="O29" i="78"/>
  <c r="O27" i="78"/>
  <c r="O25" i="78"/>
  <c r="O23" i="78"/>
  <c r="O21" i="78"/>
  <c r="O19" i="78"/>
  <c r="O17" i="78"/>
  <c r="O15" i="78"/>
  <c r="O13" i="78"/>
  <c r="O11" i="78"/>
  <c r="O9" i="78"/>
  <c r="O7" i="78"/>
  <c r="O5" i="78"/>
  <c r="O3" i="78"/>
  <c r="L22" i="78"/>
  <c r="L21" i="78"/>
  <c r="L88" i="78"/>
  <c r="L87" i="78"/>
  <c r="L83" i="78"/>
  <c r="L82" i="78"/>
  <c r="L81" i="78"/>
  <c r="L80" i="78"/>
  <c r="L79" i="78"/>
  <c r="L75" i="78"/>
  <c r="L74" i="78"/>
  <c r="L73" i="78"/>
  <c r="L72" i="78"/>
  <c r="L71" i="78"/>
  <c r="L67" i="78"/>
  <c r="L66" i="78"/>
  <c r="L65" i="78"/>
  <c r="L64" i="78"/>
  <c r="L63" i="78"/>
  <c r="L59" i="78"/>
  <c r="L58" i="78"/>
  <c r="L57" i="78"/>
  <c r="L56" i="78"/>
  <c r="L55" i="78"/>
  <c r="L51" i="78"/>
  <c r="L50" i="78"/>
  <c r="L49" i="78"/>
  <c r="L48" i="78"/>
  <c r="L47" i="78"/>
  <c r="L43" i="78"/>
  <c r="L42" i="78"/>
  <c r="L41" i="78"/>
  <c r="L40" i="78"/>
  <c r="L39" i="78"/>
  <c r="L35" i="78"/>
  <c r="L34" i="78"/>
  <c r="L33" i="78"/>
  <c r="L32" i="78"/>
  <c r="L31" i="78"/>
  <c r="L27" i="78"/>
  <c r="L26" i="78"/>
  <c r="L25" i="78"/>
  <c r="L24" i="78"/>
  <c r="L23" i="78"/>
  <c r="L19" i="78"/>
  <c r="L18" i="78"/>
  <c r="L17" i="78"/>
  <c r="L16" i="78"/>
  <c r="L15" i="78"/>
  <c r="L11" i="78"/>
  <c r="L10" i="78"/>
  <c r="L9" i="78"/>
  <c r="L8" i="78"/>
  <c r="L7" i="78"/>
  <c r="L3" i="78"/>
  <c r="L2" i="78"/>
  <c r="Q1" i="77"/>
  <c r="K3" i="77"/>
  <c r="K4" i="77"/>
  <c r="K5" i="77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1" i="77"/>
  <c r="K42" i="77"/>
  <c r="K43" i="77"/>
  <c r="K44" i="77"/>
  <c r="K45" i="77"/>
  <c r="K46" i="77"/>
  <c r="K47" i="77"/>
  <c r="K48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7" i="77"/>
  <c r="K88" i="77"/>
  <c r="K2" i="77"/>
  <c r="J3" i="77"/>
  <c r="J4" i="77"/>
  <c r="J5" i="77"/>
  <c r="J6" i="77"/>
  <c r="J7" i="77"/>
  <c r="J8" i="77"/>
  <c r="J9" i="77"/>
  <c r="J10" i="77"/>
  <c r="J11" i="77"/>
  <c r="J12" i="77"/>
  <c r="J13" i="77"/>
  <c r="J14" i="77"/>
  <c r="J15" i="77"/>
  <c r="J16" i="77"/>
  <c r="J17" i="77"/>
  <c r="J18" i="77"/>
  <c r="J19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32" i="77"/>
  <c r="J33" i="77"/>
  <c r="J34" i="77"/>
  <c r="J35" i="77"/>
  <c r="J36" i="77"/>
  <c r="J37" i="77"/>
  <c r="J38" i="77"/>
  <c r="J39" i="77"/>
  <c r="J40" i="77"/>
  <c r="J41" i="77"/>
  <c r="J42" i="77"/>
  <c r="J43" i="77"/>
  <c r="J44" i="77"/>
  <c r="J45" i="77"/>
  <c r="J46" i="77"/>
  <c r="J47" i="77"/>
  <c r="J48" i="77"/>
  <c r="J49" i="77"/>
  <c r="J50" i="77"/>
  <c r="J51" i="77"/>
  <c r="J52" i="77"/>
  <c r="J53" i="77"/>
  <c r="J54" i="77"/>
  <c r="J55" i="77"/>
  <c r="J56" i="77"/>
  <c r="J57" i="77"/>
  <c r="J58" i="77"/>
  <c r="J59" i="77"/>
  <c r="J60" i="77"/>
  <c r="J61" i="77"/>
  <c r="J62" i="77"/>
  <c r="J63" i="77"/>
  <c r="J64" i="77"/>
  <c r="J65" i="77"/>
  <c r="J66" i="77"/>
  <c r="J67" i="77"/>
  <c r="J68" i="77"/>
  <c r="J69" i="77"/>
  <c r="J70" i="77"/>
  <c r="J71" i="77"/>
  <c r="J72" i="77"/>
  <c r="J73" i="77"/>
  <c r="J74" i="77"/>
  <c r="J75" i="77"/>
  <c r="J76" i="77"/>
  <c r="J77" i="77"/>
  <c r="J78" i="77"/>
  <c r="J79" i="77"/>
  <c r="J80" i="77"/>
  <c r="J81" i="77"/>
  <c r="J82" i="77"/>
  <c r="J83" i="77"/>
  <c r="J84" i="77"/>
  <c r="J85" i="77"/>
  <c r="J86" i="77"/>
  <c r="J87" i="77"/>
  <c r="J88" i="77"/>
  <c r="J2" i="77"/>
  <c r="I3" i="77"/>
  <c r="I4" i="77"/>
  <c r="I5" i="77"/>
  <c r="I6" i="77"/>
  <c r="I7" i="77"/>
  <c r="I8" i="77"/>
  <c r="I9" i="77"/>
  <c r="I10" i="77"/>
  <c r="I11" i="77"/>
  <c r="I12" i="77"/>
  <c r="I13" i="77"/>
  <c r="I14" i="77"/>
  <c r="I15" i="77"/>
  <c r="I16" i="77"/>
  <c r="I17" i="77"/>
  <c r="I18" i="77"/>
  <c r="I19" i="77"/>
  <c r="I20" i="77"/>
  <c r="I21" i="77"/>
  <c r="I22" i="77"/>
  <c r="I23" i="77"/>
  <c r="I24" i="77"/>
  <c r="I25" i="77"/>
  <c r="I26" i="77"/>
  <c r="I27" i="77"/>
  <c r="I28" i="77"/>
  <c r="I29" i="77"/>
  <c r="I30" i="77"/>
  <c r="I31" i="77"/>
  <c r="I32" i="77"/>
  <c r="I33" i="77"/>
  <c r="I34" i="77"/>
  <c r="I35" i="77"/>
  <c r="I36" i="77"/>
  <c r="I37" i="77"/>
  <c r="I38" i="77"/>
  <c r="I39" i="77"/>
  <c r="I40" i="77"/>
  <c r="I41" i="77"/>
  <c r="I42" i="77"/>
  <c r="I43" i="77"/>
  <c r="I44" i="77"/>
  <c r="I45" i="77"/>
  <c r="I46" i="77"/>
  <c r="I47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4" i="77"/>
  <c r="I65" i="77"/>
  <c r="I66" i="77"/>
  <c r="I67" i="77"/>
  <c r="I68" i="77"/>
  <c r="I69" i="77"/>
  <c r="I70" i="77"/>
  <c r="I71" i="77"/>
  <c r="I72" i="77"/>
  <c r="I73" i="77"/>
  <c r="I74" i="77"/>
  <c r="I75" i="77"/>
  <c r="I76" i="77"/>
  <c r="I77" i="77"/>
  <c r="I78" i="77"/>
  <c r="I79" i="77"/>
  <c r="I80" i="77"/>
  <c r="I81" i="77"/>
  <c r="I82" i="77"/>
  <c r="I83" i="77"/>
  <c r="I84" i="77"/>
  <c r="I85" i="77"/>
  <c r="I86" i="77"/>
  <c r="I87" i="77"/>
  <c r="I88" i="77"/>
  <c r="I2" i="77"/>
  <c r="H3" i="77"/>
  <c r="H4" i="77"/>
  <c r="H5" i="77"/>
  <c r="H6" i="77"/>
  <c r="H7" i="77"/>
  <c r="H8" i="77"/>
  <c r="H9" i="77"/>
  <c r="H10" i="77"/>
  <c r="H11" i="77"/>
  <c r="H12" i="77"/>
  <c r="H13" i="77"/>
  <c r="H14" i="77"/>
  <c r="H15" i="77"/>
  <c r="H16" i="77"/>
  <c r="H17" i="77"/>
  <c r="H18" i="77"/>
  <c r="H19" i="77"/>
  <c r="H20" i="77"/>
  <c r="H21" i="77"/>
  <c r="H22" i="77"/>
  <c r="H23" i="77"/>
  <c r="H24" i="77"/>
  <c r="H25" i="77"/>
  <c r="H26" i="77"/>
  <c r="H27" i="77"/>
  <c r="H28" i="77"/>
  <c r="H29" i="77"/>
  <c r="H30" i="77"/>
  <c r="H31" i="77"/>
  <c r="H32" i="77"/>
  <c r="H33" i="77"/>
  <c r="H34" i="77"/>
  <c r="H35" i="77"/>
  <c r="H36" i="77"/>
  <c r="H37" i="77"/>
  <c r="H38" i="77"/>
  <c r="H39" i="77"/>
  <c r="H40" i="77"/>
  <c r="H41" i="77"/>
  <c r="H42" i="77"/>
  <c r="H43" i="77"/>
  <c r="H44" i="77"/>
  <c r="H45" i="77"/>
  <c r="H46" i="77"/>
  <c r="H47" i="77"/>
  <c r="H48" i="77"/>
  <c r="H49" i="77"/>
  <c r="H50" i="77"/>
  <c r="H51" i="77"/>
  <c r="H52" i="77"/>
  <c r="H53" i="77"/>
  <c r="H54" i="77"/>
  <c r="H55" i="77"/>
  <c r="H56" i="77"/>
  <c r="H57" i="77"/>
  <c r="H58" i="77"/>
  <c r="H59" i="77"/>
  <c r="H60" i="77"/>
  <c r="H61" i="77"/>
  <c r="H62" i="77"/>
  <c r="H63" i="77"/>
  <c r="H64" i="77"/>
  <c r="H65" i="77"/>
  <c r="H66" i="77"/>
  <c r="H67" i="77"/>
  <c r="H68" i="77"/>
  <c r="H69" i="77"/>
  <c r="H70" i="77"/>
  <c r="H71" i="77"/>
  <c r="H72" i="77"/>
  <c r="H73" i="77"/>
  <c r="H74" i="77"/>
  <c r="H75" i="77"/>
  <c r="H76" i="77"/>
  <c r="H77" i="77"/>
  <c r="H78" i="77"/>
  <c r="H79" i="77"/>
  <c r="H80" i="77"/>
  <c r="H81" i="77"/>
  <c r="H82" i="77"/>
  <c r="H83" i="77"/>
  <c r="H84" i="77"/>
  <c r="H85" i="77"/>
  <c r="H86" i="77"/>
  <c r="H87" i="77"/>
  <c r="H88" i="77"/>
  <c r="H2" i="77"/>
  <c r="G3" i="77"/>
  <c r="G4" i="77"/>
  <c r="G5" i="77"/>
  <c r="G6" i="77"/>
  <c r="G7" i="77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G55" i="77"/>
  <c r="G56" i="77"/>
  <c r="G57" i="77"/>
  <c r="G58" i="77"/>
  <c r="G59" i="77"/>
  <c r="G60" i="77"/>
  <c r="G61" i="77"/>
  <c r="G62" i="77"/>
  <c r="G63" i="77"/>
  <c r="G64" i="77"/>
  <c r="G65" i="77"/>
  <c r="G66" i="77"/>
  <c r="G67" i="77"/>
  <c r="G68" i="77"/>
  <c r="G69" i="77"/>
  <c r="G70" i="77"/>
  <c r="G71" i="77"/>
  <c r="G72" i="77"/>
  <c r="G73" i="77"/>
  <c r="G74" i="77"/>
  <c r="G75" i="77"/>
  <c r="G76" i="77"/>
  <c r="G77" i="77"/>
  <c r="G78" i="77"/>
  <c r="G79" i="77"/>
  <c r="G80" i="77"/>
  <c r="G81" i="77"/>
  <c r="G82" i="77"/>
  <c r="G83" i="77"/>
  <c r="G84" i="77"/>
  <c r="G85" i="77"/>
  <c r="G86" i="77"/>
  <c r="G87" i="77"/>
  <c r="G88" i="77"/>
  <c r="G2" i="77"/>
  <c r="F3" i="77"/>
  <c r="F4" i="77"/>
  <c r="F5" i="77"/>
  <c r="F6" i="77"/>
  <c r="F7" i="77"/>
  <c r="F8" i="77"/>
  <c r="F9" i="77"/>
  <c r="F10" i="77"/>
  <c r="F11" i="77"/>
  <c r="F12" i="77"/>
  <c r="F13" i="77"/>
  <c r="F14" i="77"/>
  <c r="F15" i="77"/>
  <c r="F16" i="77"/>
  <c r="F17" i="77"/>
  <c r="F18" i="77"/>
  <c r="F19" i="77"/>
  <c r="F20" i="77"/>
  <c r="F21" i="77"/>
  <c r="F22" i="77"/>
  <c r="F23" i="77"/>
  <c r="F24" i="77"/>
  <c r="F25" i="77"/>
  <c r="F26" i="77"/>
  <c r="F27" i="77"/>
  <c r="F28" i="77"/>
  <c r="F29" i="77"/>
  <c r="F30" i="77"/>
  <c r="F31" i="77"/>
  <c r="F32" i="77"/>
  <c r="F33" i="77"/>
  <c r="F34" i="77"/>
  <c r="F35" i="77"/>
  <c r="F36" i="77"/>
  <c r="F37" i="77"/>
  <c r="F38" i="77"/>
  <c r="F39" i="77"/>
  <c r="F40" i="77"/>
  <c r="F41" i="77"/>
  <c r="F42" i="77"/>
  <c r="F43" i="77"/>
  <c r="F44" i="77"/>
  <c r="F45" i="77"/>
  <c r="F46" i="77"/>
  <c r="F47" i="77"/>
  <c r="F48" i="77"/>
  <c r="F49" i="77"/>
  <c r="F50" i="77"/>
  <c r="F51" i="77"/>
  <c r="F52" i="77"/>
  <c r="F53" i="77"/>
  <c r="F54" i="77"/>
  <c r="F55" i="77"/>
  <c r="F56" i="77"/>
  <c r="F57" i="77"/>
  <c r="F58" i="77"/>
  <c r="F59" i="77"/>
  <c r="F60" i="77"/>
  <c r="F61" i="77"/>
  <c r="F62" i="77"/>
  <c r="F63" i="77"/>
  <c r="F64" i="77"/>
  <c r="F65" i="77"/>
  <c r="F66" i="77"/>
  <c r="F67" i="77"/>
  <c r="F68" i="77"/>
  <c r="F69" i="77"/>
  <c r="F70" i="77"/>
  <c r="F71" i="77"/>
  <c r="F72" i="77"/>
  <c r="F73" i="77"/>
  <c r="F74" i="77"/>
  <c r="F75" i="77"/>
  <c r="F76" i="77"/>
  <c r="F77" i="77"/>
  <c r="F78" i="77"/>
  <c r="F79" i="77"/>
  <c r="F80" i="77"/>
  <c r="F81" i="77"/>
  <c r="F82" i="77"/>
  <c r="F83" i="77"/>
  <c r="F84" i="77"/>
  <c r="F85" i="77"/>
  <c r="F86" i="77"/>
  <c r="F87" i="77"/>
  <c r="F88" i="77"/>
  <c r="F2" i="77"/>
  <c r="E3" i="77"/>
  <c r="E4" i="77"/>
  <c r="E5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2" i="77"/>
  <c r="D3" i="77"/>
  <c r="D4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2" i="77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L36" i="77" s="1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L68" i="77" s="1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L84" i="77" s="1"/>
  <c r="C85" i="77"/>
  <c r="C86" i="77"/>
  <c r="C87" i="77"/>
  <c r="C88" i="77"/>
  <c r="C2" i="77"/>
  <c r="B3" i="77"/>
  <c r="B4" i="77"/>
  <c r="B5" i="77"/>
  <c r="O5" i="77" s="1"/>
  <c r="B6" i="77"/>
  <c r="B7" i="77"/>
  <c r="B8" i="77"/>
  <c r="B9" i="77"/>
  <c r="O9" i="77" s="1"/>
  <c r="B10" i="77"/>
  <c r="B11" i="77"/>
  <c r="B12" i="77"/>
  <c r="B13" i="77"/>
  <c r="O13" i="77" s="1"/>
  <c r="B14" i="77"/>
  <c r="B15" i="77"/>
  <c r="B16" i="77"/>
  <c r="B17" i="77"/>
  <c r="O17" i="77" s="1"/>
  <c r="B18" i="77"/>
  <c r="B19" i="77"/>
  <c r="B20" i="77"/>
  <c r="B21" i="77"/>
  <c r="B22" i="77"/>
  <c r="B23" i="77"/>
  <c r="B24" i="77"/>
  <c r="B25" i="77"/>
  <c r="O25" i="77" s="1"/>
  <c r="B26" i="77"/>
  <c r="B27" i="77"/>
  <c r="B28" i="77"/>
  <c r="B29" i="77"/>
  <c r="O29" i="77" s="1"/>
  <c r="B30" i="77"/>
  <c r="B31" i="77"/>
  <c r="B32" i="77"/>
  <c r="B33" i="77"/>
  <c r="O33" i="77" s="1"/>
  <c r="B34" i="77"/>
  <c r="B35" i="77"/>
  <c r="B36" i="77"/>
  <c r="B37" i="77"/>
  <c r="O37" i="77" s="1"/>
  <c r="B38" i="77"/>
  <c r="B39" i="77"/>
  <c r="B40" i="77"/>
  <c r="B41" i="77"/>
  <c r="O41" i="77" s="1"/>
  <c r="B42" i="77"/>
  <c r="B43" i="77"/>
  <c r="B44" i="77"/>
  <c r="B45" i="77"/>
  <c r="O45" i="77" s="1"/>
  <c r="B46" i="77"/>
  <c r="B47" i="77"/>
  <c r="B48" i="77"/>
  <c r="B49" i="77"/>
  <c r="O49" i="77" s="1"/>
  <c r="B50" i="77"/>
  <c r="B51" i="77"/>
  <c r="B52" i="77"/>
  <c r="B53" i="77"/>
  <c r="O53" i="77" s="1"/>
  <c r="B54" i="77"/>
  <c r="B55" i="77"/>
  <c r="B56" i="77"/>
  <c r="B57" i="77"/>
  <c r="O57" i="77" s="1"/>
  <c r="B58" i="77"/>
  <c r="B59" i="77"/>
  <c r="B60" i="77"/>
  <c r="B61" i="77"/>
  <c r="O61" i="77" s="1"/>
  <c r="B62" i="77"/>
  <c r="B63" i="77"/>
  <c r="B64" i="77"/>
  <c r="B65" i="77"/>
  <c r="O65" i="77" s="1"/>
  <c r="B66" i="77"/>
  <c r="B67" i="77"/>
  <c r="B68" i="77"/>
  <c r="B69" i="77"/>
  <c r="O69" i="77" s="1"/>
  <c r="B70" i="77"/>
  <c r="B71" i="77"/>
  <c r="B72" i="77"/>
  <c r="B73" i="77"/>
  <c r="O73" i="77" s="1"/>
  <c r="B74" i="77"/>
  <c r="B75" i="77"/>
  <c r="B76" i="77"/>
  <c r="B77" i="77"/>
  <c r="O77" i="77" s="1"/>
  <c r="B78" i="77"/>
  <c r="B79" i="77"/>
  <c r="B80" i="77"/>
  <c r="B81" i="77"/>
  <c r="O81" i="77" s="1"/>
  <c r="B82" i="77"/>
  <c r="B83" i="77"/>
  <c r="B84" i="77"/>
  <c r="B85" i="77"/>
  <c r="O85" i="77" s="1"/>
  <c r="B86" i="77"/>
  <c r="B87" i="77"/>
  <c r="B88" i="77"/>
  <c r="B2" i="77"/>
  <c r="O2" i="77" s="1"/>
  <c r="Q11" i="93" l="1"/>
  <c r="Q10" i="93"/>
  <c r="W3" i="93"/>
  <c r="W4" i="93" s="1"/>
  <c r="Q5" i="93"/>
  <c r="Q4" i="93"/>
  <c r="P4" i="93"/>
  <c r="P5" i="93"/>
  <c r="F37" i="93"/>
  <c r="Q37" i="93"/>
  <c r="P11" i="93"/>
  <c r="P10" i="93"/>
  <c r="W9" i="93"/>
  <c r="W10" i="93" s="1"/>
  <c r="O86" i="77"/>
  <c r="O82" i="77"/>
  <c r="O78" i="77"/>
  <c r="O74" i="77"/>
  <c r="O70" i="77"/>
  <c r="O66" i="77"/>
  <c r="O62" i="77"/>
  <c r="O58" i="77"/>
  <c r="O54" i="77"/>
  <c r="O50" i="77"/>
  <c r="O46" i="77"/>
  <c r="O42" i="77"/>
  <c r="O38" i="77"/>
  <c r="O34" i="77"/>
  <c r="O30" i="77"/>
  <c r="O26" i="77"/>
  <c r="O22" i="77"/>
  <c r="O18" i="77"/>
  <c r="O14" i="77"/>
  <c r="O10" i="77"/>
  <c r="O6" i="77"/>
  <c r="L2" i="77"/>
  <c r="L10" i="77"/>
  <c r="L51" i="77"/>
  <c r="L26" i="77"/>
  <c r="N2" i="78"/>
  <c r="O21" i="77"/>
  <c r="O88" i="77"/>
  <c r="O84" i="77"/>
  <c r="O80" i="77"/>
  <c r="O76" i="77"/>
  <c r="O72" i="77"/>
  <c r="O68" i="77"/>
  <c r="O64" i="77"/>
  <c r="O60" i="77"/>
  <c r="O56" i="77"/>
  <c r="O52" i="77"/>
  <c r="O48" i="77"/>
  <c r="O44" i="77"/>
  <c r="O40" i="77"/>
  <c r="O36" i="77"/>
  <c r="O32" i="77"/>
  <c r="O28" i="77"/>
  <c r="O24" i="77"/>
  <c r="O20" i="77"/>
  <c r="O16" i="77"/>
  <c r="O12" i="77"/>
  <c r="O8" i="77"/>
  <c r="O4" i="77"/>
  <c r="L5" i="77"/>
  <c r="O87" i="77"/>
  <c r="L83" i="77"/>
  <c r="O83" i="77"/>
  <c r="O79" i="77"/>
  <c r="O75" i="77"/>
  <c r="O71" i="77"/>
  <c r="O67" i="77"/>
  <c r="O63" i="77"/>
  <c r="O59" i="77"/>
  <c r="O55" i="77"/>
  <c r="O51" i="77"/>
  <c r="O47" i="77"/>
  <c r="O43" i="77"/>
  <c r="O39" i="77"/>
  <c r="L35" i="77"/>
  <c r="O35" i="77"/>
  <c r="O31" i="77"/>
  <c r="O27" i="77"/>
  <c r="O23" i="77"/>
  <c r="O19" i="77"/>
  <c r="O15" i="77"/>
  <c r="O11" i="77"/>
  <c r="O7" i="77"/>
  <c r="O3" i="77"/>
  <c r="L11" i="77"/>
  <c r="N11" i="77" s="1"/>
  <c r="N74" i="78"/>
  <c r="N82" i="78"/>
  <c r="M58" i="78"/>
  <c r="M34" i="78"/>
  <c r="N50" i="78"/>
  <c r="M26" i="78"/>
  <c r="M66" i="78"/>
  <c r="L42" i="77"/>
  <c r="N42" i="77" s="1"/>
  <c r="L29" i="77"/>
  <c r="N29" i="77" s="1"/>
  <c r="L59" i="77"/>
  <c r="N59" i="77" s="1"/>
  <c r="L27" i="77"/>
  <c r="N27" i="77" s="1"/>
  <c r="L15" i="77"/>
  <c r="N15" i="77" s="1"/>
  <c r="L20" i="77"/>
  <c r="N20" i="77" s="1"/>
  <c r="L3" i="77"/>
  <c r="N3" i="77" s="1"/>
  <c r="L19" i="77"/>
  <c r="L75" i="77"/>
  <c r="L9" i="77"/>
  <c r="M83" i="77"/>
  <c r="L43" i="77"/>
  <c r="L67" i="77"/>
  <c r="N67" i="77" s="1"/>
  <c r="N68" i="77"/>
  <c r="L4" i="77"/>
  <c r="M4" i="77" s="1"/>
  <c r="L52" i="77"/>
  <c r="N52" i="77" s="1"/>
  <c r="L73" i="77"/>
  <c r="N73" i="77" s="1"/>
  <c r="N34" i="78"/>
  <c r="M74" i="78"/>
  <c r="N26" i="78"/>
  <c r="N58" i="78"/>
  <c r="M10" i="78"/>
  <c r="M50" i="78"/>
  <c r="N42" i="78"/>
  <c r="M82" i="78"/>
  <c r="N66" i="78"/>
  <c r="M18" i="78"/>
  <c r="M2" i="78"/>
  <c r="N64" i="78"/>
  <c r="M64" i="78"/>
  <c r="N73" i="78"/>
  <c r="M73" i="78"/>
  <c r="N51" i="78"/>
  <c r="M51" i="78"/>
  <c r="N83" i="78"/>
  <c r="M83" i="78"/>
  <c r="M39" i="78"/>
  <c r="N39" i="78"/>
  <c r="N40" i="78"/>
  <c r="M40" i="78"/>
  <c r="N49" i="78"/>
  <c r="M49" i="78"/>
  <c r="N72" i="78"/>
  <c r="M72" i="78"/>
  <c r="M81" i="78"/>
  <c r="N81" i="78"/>
  <c r="M63" i="78"/>
  <c r="N63" i="78"/>
  <c r="M71" i="78"/>
  <c r="N71" i="78"/>
  <c r="M7" i="78"/>
  <c r="N7" i="78"/>
  <c r="N8" i="78"/>
  <c r="M8" i="78"/>
  <c r="N17" i="78"/>
  <c r="M17" i="78"/>
  <c r="N59" i="78"/>
  <c r="M59" i="78"/>
  <c r="N11" i="78"/>
  <c r="M11" i="78"/>
  <c r="M31" i="78"/>
  <c r="N31" i="78"/>
  <c r="N32" i="78"/>
  <c r="M32" i="78"/>
  <c r="N27" i="78"/>
  <c r="M27" i="78"/>
  <c r="M47" i="78"/>
  <c r="N47" i="78"/>
  <c r="N48" i="78"/>
  <c r="M48" i="78"/>
  <c r="M79" i="78"/>
  <c r="N79" i="78"/>
  <c r="N9" i="78"/>
  <c r="M9" i="78"/>
  <c r="N57" i="78"/>
  <c r="M57" i="78"/>
  <c r="M80" i="78"/>
  <c r="N80" i="78"/>
  <c r="M15" i="78"/>
  <c r="N15" i="78"/>
  <c r="N16" i="78"/>
  <c r="M16" i="78"/>
  <c r="N25" i="78"/>
  <c r="M25" i="78"/>
  <c r="N67" i="78"/>
  <c r="M67" i="78"/>
  <c r="M87" i="78"/>
  <c r="N87" i="78"/>
  <c r="M41" i="78"/>
  <c r="N41" i="78"/>
  <c r="N19" i="78"/>
  <c r="M19" i="78"/>
  <c r="N65" i="78"/>
  <c r="M65" i="78"/>
  <c r="N35" i="78"/>
  <c r="M35" i="78"/>
  <c r="M55" i="78"/>
  <c r="N55" i="78"/>
  <c r="N56" i="78"/>
  <c r="M56" i="78"/>
  <c r="N3" i="78"/>
  <c r="M3" i="78"/>
  <c r="N88" i="78"/>
  <c r="M88" i="78"/>
  <c r="M23" i="78"/>
  <c r="N23" i="78"/>
  <c r="M24" i="78"/>
  <c r="N24" i="78"/>
  <c r="M33" i="78"/>
  <c r="N33" i="78"/>
  <c r="N43" i="78"/>
  <c r="M43" i="78"/>
  <c r="N75" i="78"/>
  <c r="M75" i="78"/>
  <c r="L6" i="78"/>
  <c r="L14" i="78"/>
  <c r="L30" i="78"/>
  <c r="L38" i="78"/>
  <c r="L46" i="78"/>
  <c r="L54" i="78"/>
  <c r="L62" i="78"/>
  <c r="L70" i="78"/>
  <c r="L78" i="78"/>
  <c r="L86" i="78"/>
  <c r="L5" i="78"/>
  <c r="L13" i="78"/>
  <c r="L29" i="78"/>
  <c r="L37" i="78"/>
  <c r="L45" i="78"/>
  <c r="L53" i="78"/>
  <c r="L61" i="78"/>
  <c r="L69" i="78"/>
  <c r="L77" i="78"/>
  <c r="L85" i="78"/>
  <c r="L4" i="78"/>
  <c r="L12" i="78"/>
  <c r="L20" i="78"/>
  <c r="L28" i="78"/>
  <c r="L36" i="78"/>
  <c r="L44" i="78"/>
  <c r="L52" i="78"/>
  <c r="L60" i="78"/>
  <c r="L68" i="78"/>
  <c r="L76" i="78"/>
  <c r="L84" i="78"/>
  <c r="M42" i="78"/>
  <c r="N10" i="78"/>
  <c r="N18" i="78"/>
  <c r="N10" i="77"/>
  <c r="L55" i="77"/>
  <c r="M55" i="77" s="1"/>
  <c r="L39" i="77"/>
  <c r="L23" i="77"/>
  <c r="L28" i="77"/>
  <c r="N28" i="77" s="1"/>
  <c r="L17" i="77"/>
  <c r="L31" i="77"/>
  <c r="L87" i="77"/>
  <c r="N35" i="77"/>
  <c r="L37" i="77"/>
  <c r="M37" i="77" s="1"/>
  <c r="L21" i="77"/>
  <c r="N21" i="77" s="1"/>
  <c r="L7" i="77"/>
  <c r="L33" i="77"/>
  <c r="M33" i="77" s="1"/>
  <c r="L63" i="77"/>
  <c r="N63" i="77" s="1"/>
  <c r="L12" i="77"/>
  <c r="L47" i="77"/>
  <c r="M47" i="77" s="1"/>
  <c r="L53" i="77"/>
  <c r="M53" i="77" s="1"/>
  <c r="L34" i="77"/>
  <c r="L49" i="77"/>
  <c r="M49" i="77" s="1"/>
  <c r="L18" i="77"/>
  <c r="L58" i="77"/>
  <c r="M75" i="77"/>
  <c r="L45" i="77"/>
  <c r="M45" i="77" s="1"/>
  <c r="L71" i="77"/>
  <c r="L13" i="77"/>
  <c r="N34" i="77"/>
  <c r="M43" i="77"/>
  <c r="L81" i="77"/>
  <c r="L60" i="77"/>
  <c r="M36" i="77"/>
  <c r="L79" i="77"/>
  <c r="N84" i="77"/>
  <c r="L25" i="77"/>
  <c r="N25" i="77" s="1"/>
  <c r="L41" i="77"/>
  <c r="N41" i="77" s="1"/>
  <c r="L57" i="77"/>
  <c r="M57" i="77" s="1"/>
  <c r="L44" i="77"/>
  <c r="L50" i="77"/>
  <c r="L66" i="77"/>
  <c r="L74" i="77"/>
  <c r="N74" i="77" s="1"/>
  <c r="L82" i="77"/>
  <c r="L65" i="77"/>
  <c r="L76" i="77"/>
  <c r="M84" i="77"/>
  <c r="M19" i="77"/>
  <c r="N19" i="77"/>
  <c r="M67" i="77"/>
  <c r="M26" i="77"/>
  <c r="N26" i="77"/>
  <c r="N5" i="77"/>
  <c r="M5" i="77"/>
  <c r="N83" i="77"/>
  <c r="N2" i="77"/>
  <c r="M2" i="77"/>
  <c r="N51" i="77"/>
  <c r="M51" i="77"/>
  <c r="L6" i="77"/>
  <c r="L14" i="77"/>
  <c r="L22" i="77"/>
  <c r="L30" i="77"/>
  <c r="L38" i="77"/>
  <c r="L46" i="77"/>
  <c r="L54" i="77"/>
  <c r="L62" i="77"/>
  <c r="L70" i="77"/>
  <c r="L78" i="77"/>
  <c r="L86" i="77"/>
  <c r="M39" i="77"/>
  <c r="L61" i="77"/>
  <c r="L69" i="77"/>
  <c r="L77" i="77"/>
  <c r="L85" i="77"/>
  <c r="N4" i="77"/>
  <c r="N36" i="77"/>
  <c r="L8" i="77"/>
  <c r="L16" i="77"/>
  <c r="L24" i="77"/>
  <c r="L32" i="77"/>
  <c r="L40" i="77"/>
  <c r="L48" i="77"/>
  <c r="L56" i="77"/>
  <c r="L64" i="77"/>
  <c r="L72" i="77"/>
  <c r="L80" i="77"/>
  <c r="L88" i="77"/>
  <c r="R4" i="93" l="1"/>
  <c r="T4" i="93" s="1"/>
  <c r="R11" i="93"/>
  <c r="R10" i="93"/>
  <c r="T10" i="93" s="1"/>
  <c r="R5" i="93"/>
  <c r="M42" i="77"/>
  <c r="M20" i="77"/>
  <c r="M3" i="77"/>
  <c r="N37" i="77"/>
  <c r="M29" i="77"/>
  <c r="M21" i="77"/>
  <c r="M52" i="77"/>
  <c r="N23" i="77"/>
  <c r="M11" i="77"/>
  <c r="M9" i="77"/>
  <c r="M31" i="77"/>
  <c r="N9" i="77"/>
  <c r="M17" i="77"/>
  <c r="M73" i="77"/>
  <c r="M10" i="77"/>
  <c r="M28" i="77"/>
  <c r="N33" i="77"/>
  <c r="M7" i="77"/>
  <c r="M68" i="77"/>
  <c r="M87" i="77"/>
  <c r="N45" i="77"/>
  <c r="N12" i="77"/>
  <c r="M50" i="77"/>
  <c r="M18" i="77"/>
  <c r="M35" i="77"/>
  <c r="N79" i="77"/>
  <c r="N44" i="77"/>
  <c r="N38" i="78"/>
  <c r="M38" i="78"/>
  <c r="N62" i="78"/>
  <c r="M62" i="78"/>
  <c r="N78" i="78"/>
  <c r="M78" i="78"/>
  <c r="N54" i="78"/>
  <c r="M54" i="78"/>
  <c r="N30" i="78"/>
  <c r="M30" i="78"/>
  <c r="N22" i="78"/>
  <c r="M22" i="78"/>
  <c r="N14" i="78"/>
  <c r="M14" i="78"/>
  <c r="N45" i="78"/>
  <c r="M45" i="78"/>
  <c r="N6" i="78"/>
  <c r="M6" i="78"/>
  <c r="N76" i="78"/>
  <c r="M76" i="78"/>
  <c r="N13" i="78"/>
  <c r="M13" i="78"/>
  <c r="N70" i="78"/>
  <c r="M70" i="78"/>
  <c r="N12" i="78"/>
  <c r="M12" i="78"/>
  <c r="N4" i="78"/>
  <c r="M4" i="78"/>
  <c r="N85" i="78"/>
  <c r="M85" i="78"/>
  <c r="N69" i="78"/>
  <c r="M69" i="78"/>
  <c r="N61" i="78"/>
  <c r="M61" i="78"/>
  <c r="N53" i="78"/>
  <c r="M53" i="78"/>
  <c r="N37" i="78"/>
  <c r="M37" i="78"/>
  <c r="N68" i="78"/>
  <c r="M68" i="78"/>
  <c r="N21" i="78"/>
  <c r="M21" i="78"/>
  <c r="N52" i="78"/>
  <c r="M52" i="78"/>
  <c r="N44" i="78"/>
  <c r="M44" i="78"/>
  <c r="N5" i="78"/>
  <c r="M5" i="78"/>
  <c r="N28" i="78"/>
  <c r="M28" i="78"/>
  <c r="N20" i="78"/>
  <c r="M20" i="78"/>
  <c r="N46" i="78"/>
  <c r="M46" i="78"/>
  <c r="N77" i="78"/>
  <c r="M77" i="78"/>
  <c r="N84" i="78"/>
  <c r="M84" i="78"/>
  <c r="N29" i="78"/>
  <c r="M29" i="78"/>
  <c r="N60" i="78"/>
  <c r="M60" i="78"/>
  <c r="N36" i="78"/>
  <c r="M36" i="78"/>
  <c r="N86" i="78"/>
  <c r="M86" i="78"/>
  <c r="N17" i="77"/>
  <c r="M82" i="77"/>
  <c r="N66" i="77"/>
  <c r="N53" i="77"/>
  <c r="M58" i="77"/>
  <c r="N49" i="77"/>
  <c r="M27" i="77"/>
  <c r="M13" i="77"/>
  <c r="N18" i="77"/>
  <c r="N81" i="77"/>
  <c r="N58" i="77"/>
  <c r="M71" i="77"/>
  <c r="M34" i="77"/>
  <c r="N65" i="77"/>
  <c r="N50" i="77"/>
  <c r="N13" i="77"/>
  <c r="M59" i="77"/>
  <c r="N60" i="77"/>
  <c r="M81" i="77"/>
  <c r="M41" i="77"/>
  <c r="M60" i="77"/>
  <c r="N43" i="77"/>
  <c r="N75" i="77"/>
  <c r="M66" i="77"/>
  <c r="M44" i="77"/>
  <c r="M12" i="77"/>
  <c r="N82" i="77"/>
  <c r="M74" i="77"/>
  <c r="M25" i="77"/>
  <c r="M76" i="77"/>
  <c r="N57" i="77"/>
  <c r="N76" i="77"/>
  <c r="M65" i="77"/>
  <c r="N40" i="77"/>
  <c r="M40" i="77"/>
  <c r="N56" i="77"/>
  <c r="M56" i="77"/>
  <c r="N48" i="77"/>
  <c r="M48" i="77"/>
  <c r="N32" i="77"/>
  <c r="M32" i="77"/>
  <c r="N24" i="77"/>
  <c r="M24" i="77"/>
  <c r="N16" i="77"/>
  <c r="M16" i="77"/>
  <c r="N8" i="77"/>
  <c r="M8" i="77"/>
  <c r="M15" i="77"/>
  <c r="N31" i="77"/>
  <c r="N88" i="77"/>
  <c r="M88" i="77"/>
  <c r="N87" i="77"/>
  <c r="M79" i="77"/>
  <c r="M23" i="77"/>
  <c r="N80" i="77"/>
  <c r="M80" i="77"/>
  <c r="N86" i="77"/>
  <c r="M86" i="77"/>
  <c r="N69" i="77"/>
  <c r="M69" i="77"/>
  <c r="N7" i="77"/>
  <c r="M63" i="77"/>
  <c r="N85" i="77"/>
  <c r="M85" i="77"/>
  <c r="N77" i="77"/>
  <c r="M77" i="77"/>
  <c r="N72" i="77"/>
  <c r="M72" i="77"/>
  <c r="N78" i="77"/>
  <c r="M78" i="77"/>
  <c r="N64" i="77"/>
  <c r="M64" i="77"/>
  <c r="N61" i="77"/>
  <c r="M61" i="77"/>
  <c r="N70" i="77"/>
  <c r="M70" i="77"/>
  <c r="N55" i="77"/>
  <c r="N62" i="77"/>
  <c r="M62" i="77"/>
  <c r="N47" i="77"/>
  <c r="N39" i="77"/>
  <c r="N54" i="77"/>
  <c r="M54" i="77"/>
  <c r="N46" i="77"/>
  <c r="M46" i="77"/>
  <c r="N38" i="77"/>
  <c r="M38" i="77"/>
  <c r="N30" i="77"/>
  <c r="M30" i="77"/>
  <c r="N22" i="77"/>
  <c r="M22" i="77"/>
  <c r="N71" i="77"/>
  <c r="N14" i="77"/>
  <c r="M14" i="77"/>
  <c r="N6" i="77"/>
  <c r="M6" i="77"/>
  <c r="K2" i="46" l="1"/>
  <c r="K3" i="46"/>
  <c r="K4" i="46"/>
  <c r="K5" i="46"/>
  <c r="K6" i="46"/>
  <c r="K7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J2" i="46"/>
  <c r="J3" i="46"/>
  <c r="J4" i="46"/>
  <c r="J5" i="46"/>
  <c r="J6" i="46"/>
  <c r="J7" i="46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J22" i="46"/>
  <c r="I2" i="46"/>
  <c r="I3" i="46"/>
  <c r="I4" i="46"/>
  <c r="I5" i="46"/>
  <c r="I6" i="46"/>
  <c r="I7" i="46"/>
  <c r="I8" i="46"/>
  <c r="I9" i="46"/>
  <c r="I10" i="46"/>
  <c r="I11" i="46"/>
  <c r="I12" i="46"/>
  <c r="I13" i="46"/>
  <c r="I14" i="46"/>
  <c r="I15" i="46"/>
  <c r="I16" i="46"/>
  <c r="I17" i="46"/>
  <c r="I18" i="46"/>
  <c r="I19" i="46"/>
  <c r="I20" i="46"/>
  <c r="I21" i="46"/>
  <c r="I22" i="46"/>
  <c r="H2" i="46"/>
  <c r="H3" i="46"/>
  <c r="H4" i="46"/>
  <c r="H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G2" i="46"/>
  <c r="G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F2" i="46"/>
  <c r="F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E2" i="46"/>
  <c r="E3" i="46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D2" i="46"/>
  <c r="D3" i="46"/>
  <c r="D4" i="46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C2" i="46"/>
  <c r="C3" i="46"/>
  <c r="C4" i="46"/>
  <c r="C5" i="46"/>
  <c r="C6" i="46"/>
  <c r="C7" i="46"/>
  <c r="C8" i="46"/>
  <c r="C9" i="46"/>
  <c r="C10" i="46"/>
  <c r="C11" i="46"/>
  <c r="C12" i="46"/>
  <c r="C13" i="46"/>
  <c r="C14" i="46"/>
  <c r="C15" i="46"/>
  <c r="C16" i="46"/>
  <c r="C17" i="46"/>
  <c r="C18" i="46"/>
  <c r="C19" i="46"/>
  <c r="C20" i="46"/>
  <c r="C21" i="46"/>
  <c r="C22" i="46"/>
  <c r="B2" i="46"/>
  <c r="O2" i="46" s="1"/>
  <c r="B3" i="46"/>
  <c r="O3" i="46" s="1"/>
  <c r="B4" i="46"/>
  <c r="O4" i="46" s="1"/>
  <c r="B5" i="46"/>
  <c r="O5" i="46" s="1"/>
  <c r="B6" i="46"/>
  <c r="O6" i="46" s="1"/>
  <c r="B7" i="46"/>
  <c r="O7" i="46" s="1"/>
  <c r="B8" i="46"/>
  <c r="O8" i="46" s="1"/>
  <c r="B9" i="46"/>
  <c r="O9" i="46" s="1"/>
  <c r="B10" i="46"/>
  <c r="O10" i="46" s="1"/>
  <c r="B11" i="46"/>
  <c r="O11" i="46" s="1"/>
  <c r="B12" i="46"/>
  <c r="O12" i="46" s="1"/>
  <c r="B13" i="46"/>
  <c r="O13" i="46" s="1"/>
  <c r="B14" i="46"/>
  <c r="O14" i="46" s="1"/>
  <c r="B15" i="46"/>
  <c r="O15" i="46" s="1"/>
  <c r="B16" i="46"/>
  <c r="O16" i="46" s="1"/>
  <c r="B17" i="46"/>
  <c r="O17" i="46" s="1"/>
  <c r="B18" i="46"/>
  <c r="B19" i="46"/>
  <c r="O19" i="46" s="1"/>
  <c r="B20" i="46"/>
  <c r="O20" i="46" s="1"/>
  <c r="B21" i="46"/>
  <c r="B22" i="46"/>
  <c r="O22" i="46" s="1"/>
  <c r="B23" i="46"/>
  <c r="B24" i="46"/>
  <c r="B25" i="46"/>
  <c r="B26" i="46"/>
  <c r="K88" i="46"/>
  <c r="J88" i="46"/>
  <c r="I88" i="46"/>
  <c r="H88" i="46"/>
  <c r="G88" i="46"/>
  <c r="F88" i="46"/>
  <c r="E88" i="46"/>
  <c r="D88" i="46"/>
  <c r="C88" i="46"/>
  <c r="B88" i="46"/>
  <c r="K87" i="46"/>
  <c r="J87" i="46"/>
  <c r="I87" i="46"/>
  <c r="H87" i="46"/>
  <c r="G87" i="46"/>
  <c r="F87" i="46"/>
  <c r="E87" i="46"/>
  <c r="D87" i="46"/>
  <c r="C87" i="46"/>
  <c r="B87" i="46"/>
  <c r="K86" i="46"/>
  <c r="J86" i="46"/>
  <c r="I86" i="46"/>
  <c r="H86" i="46"/>
  <c r="G86" i="46"/>
  <c r="F86" i="46"/>
  <c r="E86" i="46"/>
  <c r="D86" i="46"/>
  <c r="C86" i="46"/>
  <c r="B86" i="46"/>
  <c r="K85" i="46"/>
  <c r="J85" i="46"/>
  <c r="I85" i="46"/>
  <c r="H85" i="46"/>
  <c r="G85" i="46"/>
  <c r="F85" i="46"/>
  <c r="E85" i="46"/>
  <c r="D85" i="46"/>
  <c r="C85" i="46"/>
  <c r="B85" i="46"/>
  <c r="O85" i="46" s="1"/>
  <c r="K84" i="46"/>
  <c r="J84" i="46"/>
  <c r="I84" i="46"/>
  <c r="H84" i="46"/>
  <c r="G84" i="46"/>
  <c r="F84" i="46"/>
  <c r="E84" i="46"/>
  <c r="D84" i="46"/>
  <c r="C84" i="46"/>
  <c r="B84" i="46"/>
  <c r="K83" i="46"/>
  <c r="J83" i="46"/>
  <c r="I83" i="46"/>
  <c r="H83" i="46"/>
  <c r="G83" i="46"/>
  <c r="F83" i="46"/>
  <c r="E83" i="46"/>
  <c r="D83" i="46"/>
  <c r="C83" i="46"/>
  <c r="B83" i="46"/>
  <c r="O83" i="46" s="1"/>
  <c r="K82" i="46"/>
  <c r="J82" i="46"/>
  <c r="I82" i="46"/>
  <c r="H82" i="46"/>
  <c r="G82" i="46"/>
  <c r="F82" i="46"/>
  <c r="E82" i="46"/>
  <c r="D82" i="46"/>
  <c r="C82" i="46"/>
  <c r="B82" i="46"/>
  <c r="K81" i="46"/>
  <c r="J81" i="46"/>
  <c r="I81" i="46"/>
  <c r="H81" i="46"/>
  <c r="G81" i="46"/>
  <c r="F81" i="46"/>
  <c r="E81" i="46"/>
  <c r="D81" i="46"/>
  <c r="C81" i="46"/>
  <c r="B81" i="46"/>
  <c r="O81" i="46" s="1"/>
  <c r="K80" i="46"/>
  <c r="J80" i="46"/>
  <c r="I80" i="46"/>
  <c r="H80" i="46"/>
  <c r="G80" i="46"/>
  <c r="F80" i="46"/>
  <c r="E80" i="46"/>
  <c r="D80" i="46"/>
  <c r="C80" i="46"/>
  <c r="B80" i="46"/>
  <c r="K79" i="46"/>
  <c r="J79" i="46"/>
  <c r="I79" i="46"/>
  <c r="H79" i="46"/>
  <c r="G79" i="46"/>
  <c r="F79" i="46"/>
  <c r="E79" i="46"/>
  <c r="D79" i="46"/>
  <c r="C79" i="46"/>
  <c r="B79" i="46"/>
  <c r="K78" i="46"/>
  <c r="J78" i="46"/>
  <c r="I78" i="46"/>
  <c r="H78" i="46"/>
  <c r="G78" i="46"/>
  <c r="F78" i="46"/>
  <c r="E78" i="46"/>
  <c r="D78" i="46"/>
  <c r="C78" i="46"/>
  <c r="B78" i="46"/>
  <c r="K77" i="46"/>
  <c r="J77" i="46"/>
  <c r="I77" i="46"/>
  <c r="H77" i="46"/>
  <c r="G77" i="46"/>
  <c r="F77" i="46"/>
  <c r="E77" i="46"/>
  <c r="D77" i="46"/>
  <c r="C77" i="46"/>
  <c r="B77" i="46"/>
  <c r="O77" i="46" s="1"/>
  <c r="K76" i="46"/>
  <c r="J76" i="46"/>
  <c r="I76" i="46"/>
  <c r="H76" i="46"/>
  <c r="G76" i="46"/>
  <c r="F76" i="46"/>
  <c r="E76" i="46"/>
  <c r="D76" i="46"/>
  <c r="C76" i="46"/>
  <c r="B76" i="46"/>
  <c r="K75" i="46"/>
  <c r="J75" i="46"/>
  <c r="I75" i="46"/>
  <c r="H75" i="46"/>
  <c r="G75" i="46"/>
  <c r="F75" i="46"/>
  <c r="E75" i="46"/>
  <c r="D75" i="46"/>
  <c r="C75" i="46"/>
  <c r="B75" i="46"/>
  <c r="O75" i="46" s="1"/>
  <c r="K74" i="46"/>
  <c r="J74" i="46"/>
  <c r="I74" i="46"/>
  <c r="H74" i="46"/>
  <c r="G74" i="46"/>
  <c r="F74" i="46"/>
  <c r="E74" i="46"/>
  <c r="D74" i="46"/>
  <c r="C74" i="46"/>
  <c r="B74" i="46"/>
  <c r="K73" i="46"/>
  <c r="J73" i="46"/>
  <c r="I73" i="46"/>
  <c r="H73" i="46"/>
  <c r="G73" i="46"/>
  <c r="F73" i="46"/>
  <c r="E73" i="46"/>
  <c r="D73" i="46"/>
  <c r="C73" i="46"/>
  <c r="B73" i="46"/>
  <c r="K72" i="46"/>
  <c r="J72" i="46"/>
  <c r="I72" i="46"/>
  <c r="H72" i="46"/>
  <c r="G72" i="46"/>
  <c r="F72" i="46"/>
  <c r="E72" i="46"/>
  <c r="D72" i="46"/>
  <c r="C72" i="46"/>
  <c r="B72" i="46"/>
  <c r="K71" i="46"/>
  <c r="J71" i="46"/>
  <c r="I71" i="46"/>
  <c r="H71" i="46"/>
  <c r="G71" i="46"/>
  <c r="F71" i="46"/>
  <c r="E71" i="46"/>
  <c r="D71" i="46"/>
  <c r="C71" i="46"/>
  <c r="B71" i="46"/>
  <c r="O71" i="46" s="1"/>
  <c r="K70" i="46"/>
  <c r="J70" i="46"/>
  <c r="I70" i="46"/>
  <c r="H70" i="46"/>
  <c r="G70" i="46"/>
  <c r="F70" i="46"/>
  <c r="E70" i="46"/>
  <c r="D70" i="46"/>
  <c r="C70" i="46"/>
  <c r="B70" i="46"/>
  <c r="K69" i="46"/>
  <c r="J69" i="46"/>
  <c r="I69" i="46"/>
  <c r="H69" i="46"/>
  <c r="G69" i="46"/>
  <c r="F69" i="46"/>
  <c r="E69" i="46"/>
  <c r="D69" i="46"/>
  <c r="C69" i="46"/>
  <c r="B69" i="46"/>
  <c r="O69" i="46" s="1"/>
  <c r="K68" i="46"/>
  <c r="J68" i="46"/>
  <c r="I68" i="46"/>
  <c r="H68" i="46"/>
  <c r="G68" i="46"/>
  <c r="F68" i="46"/>
  <c r="E68" i="46"/>
  <c r="D68" i="46"/>
  <c r="C68" i="46"/>
  <c r="B68" i="46"/>
  <c r="K67" i="46"/>
  <c r="J67" i="46"/>
  <c r="I67" i="46"/>
  <c r="H67" i="46"/>
  <c r="G67" i="46"/>
  <c r="F67" i="46"/>
  <c r="E67" i="46"/>
  <c r="D67" i="46"/>
  <c r="C67" i="46"/>
  <c r="B67" i="46"/>
  <c r="O67" i="46" s="1"/>
  <c r="K66" i="46"/>
  <c r="J66" i="46"/>
  <c r="I66" i="46"/>
  <c r="H66" i="46"/>
  <c r="G66" i="46"/>
  <c r="F66" i="46"/>
  <c r="E66" i="46"/>
  <c r="D66" i="46"/>
  <c r="C66" i="46"/>
  <c r="B66" i="46"/>
  <c r="K65" i="46"/>
  <c r="J65" i="46"/>
  <c r="I65" i="46"/>
  <c r="H65" i="46"/>
  <c r="G65" i="46"/>
  <c r="F65" i="46"/>
  <c r="E65" i="46"/>
  <c r="D65" i="46"/>
  <c r="C65" i="46"/>
  <c r="B65" i="46"/>
  <c r="O65" i="46" s="1"/>
  <c r="K64" i="46"/>
  <c r="J64" i="46"/>
  <c r="I64" i="46"/>
  <c r="H64" i="46"/>
  <c r="G64" i="46"/>
  <c r="F64" i="46"/>
  <c r="E64" i="46"/>
  <c r="D64" i="46"/>
  <c r="C64" i="46"/>
  <c r="B64" i="46"/>
  <c r="K63" i="46"/>
  <c r="J63" i="46"/>
  <c r="I63" i="46"/>
  <c r="H63" i="46"/>
  <c r="G63" i="46"/>
  <c r="F63" i="46"/>
  <c r="E63" i="46"/>
  <c r="D63" i="46"/>
  <c r="C63" i="46"/>
  <c r="B63" i="46"/>
  <c r="O63" i="46" s="1"/>
  <c r="K62" i="46"/>
  <c r="J62" i="46"/>
  <c r="I62" i="46"/>
  <c r="H62" i="46"/>
  <c r="G62" i="46"/>
  <c r="F62" i="46"/>
  <c r="E62" i="46"/>
  <c r="D62" i="46"/>
  <c r="C62" i="46"/>
  <c r="B62" i="46"/>
  <c r="K61" i="46"/>
  <c r="J61" i="46"/>
  <c r="I61" i="46"/>
  <c r="H61" i="46"/>
  <c r="G61" i="46"/>
  <c r="F61" i="46"/>
  <c r="E61" i="46"/>
  <c r="D61" i="46"/>
  <c r="C61" i="46"/>
  <c r="B61" i="46"/>
  <c r="O61" i="46" s="1"/>
  <c r="K60" i="46"/>
  <c r="J60" i="46"/>
  <c r="I60" i="46"/>
  <c r="H60" i="46"/>
  <c r="G60" i="46"/>
  <c r="F60" i="46"/>
  <c r="E60" i="46"/>
  <c r="D60" i="46"/>
  <c r="C60" i="46"/>
  <c r="B60" i="46"/>
  <c r="K59" i="46"/>
  <c r="J59" i="46"/>
  <c r="I59" i="46"/>
  <c r="H59" i="46"/>
  <c r="G59" i="46"/>
  <c r="F59" i="46"/>
  <c r="E59" i="46"/>
  <c r="D59" i="46"/>
  <c r="C59" i="46"/>
  <c r="B59" i="46"/>
  <c r="O59" i="46" s="1"/>
  <c r="K58" i="46"/>
  <c r="J58" i="46"/>
  <c r="I58" i="46"/>
  <c r="H58" i="46"/>
  <c r="G58" i="46"/>
  <c r="F58" i="46"/>
  <c r="E58" i="46"/>
  <c r="D58" i="46"/>
  <c r="C58" i="46"/>
  <c r="B58" i="46"/>
  <c r="K57" i="46"/>
  <c r="J57" i="46"/>
  <c r="I57" i="46"/>
  <c r="H57" i="46"/>
  <c r="G57" i="46"/>
  <c r="F57" i="46"/>
  <c r="E57" i="46"/>
  <c r="D57" i="46"/>
  <c r="C57" i="46"/>
  <c r="B57" i="46"/>
  <c r="O57" i="46" s="1"/>
  <c r="K56" i="46"/>
  <c r="J56" i="46"/>
  <c r="I56" i="46"/>
  <c r="H56" i="46"/>
  <c r="G56" i="46"/>
  <c r="F56" i="46"/>
  <c r="E56" i="46"/>
  <c r="D56" i="46"/>
  <c r="C56" i="46"/>
  <c r="B56" i="46"/>
  <c r="K55" i="46"/>
  <c r="J55" i="46"/>
  <c r="I55" i="46"/>
  <c r="H55" i="46"/>
  <c r="G55" i="46"/>
  <c r="F55" i="46"/>
  <c r="E55" i="46"/>
  <c r="D55" i="46"/>
  <c r="C55" i="46"/>
  <c r="B55" i="46"/>
  <c r="O55" i="46" s="1"/>
  <c r="K54" i="46"/>
  <c r="J54" i="46"/>
  <c r="I54" i="46"/>
  <c r="H54" i="46"/>
  <c r="G54" i="46"/>
  <c r="F54" i="46"/>
  <c r="E54" i="46"/>
  <c r="D54" i="46"/>
  <c r="C54" i="46"/>
  <c r="B54" i="46"/>
  <c r="K53" i="46"/>
  <c r="J53" i="46"/>
  <c r="I53" i="46"/>
  <c r="H53" i="46"/>
  <c r="G53" i="46"/>
  <c r="F53" i="46"/>
  <c r="E53" i="46"/>
  <c r="D53" i="46"/>
  <c r="C53" i="46"/>
  <c r="B53" i="46"/>
  <c r="O53" i="46" s="1"/>
  <c r="K52" i="46"/>
  <c r="J52" i="46"/>
  <c r="I52" i="46"/>
  <c r="H52" i="46"/>
  <c r="G52" i="46"/>
  <c r="F52" i="46"/>
  <c r="E52" i="46"/>
  <c r="D52" i="46"/>
  <c r="C52" i="46"/>
  <c r="B52" i="46"/>
  <c r="K51" i="46"/>
  <c r="J51" i="46"/>
  <c r="I51" i="46"/>
  <c r="H51" i="46"/>
  <c r="G51" i="46"/>
  <c r="F51" i="46"/>
  <c r="E51" i="46"/>
  <c r="D51" i="46"/>
  <c r="C51" i="46"/>
  <c r="B51" i="46"/>
  <c r="O51" i="46" s="1"/>
  <c r="K50" i="46"/>
  <c r="J50" i="46"/>
  <c r="I50" i="46"/>
  <c r="H50" i="46"/>
  <c r="G50" i="46"/>
  <c r="F50" i="46"/>
  <c r="E50" i="46"/>
  <c r="D50" i="46"/>
  <c r="C50" i="46"/>
  <c r="B50" i="46"/>
  <c r="K49" i="46"/>
  <c r="J49" i="46"/>
  <c r="I49" i="46"/>
  <c r="H49" i="46"/>
  <c r="G49" i="46"/>
  <c r="F49" i="46"/>
  <c r="E49" i="46"/>
  <c r="D49" i="46"/>
  <c r="C49" i="46"/>
  <c r="B49" i="46"/>
  <c r="O49" i="46" s="1"/>
  <c r="K48" i="46"/>
  <c r="J48" i="46"/>
  <c r="I48" i="46"/>
  <c r="H48" i="46"/>
  <c r="G48" i="46"/>
  <c r="F48" i="46"/>
  <c r="E48" i="46"/>
  <c r="D48" i="46"/>
  <c r="C48" i="46"/>
  <c r="B48" i="46"/>
  <c r="K47" i="46"/>
  <c r="J47" i="46"/>
  <c r="I47" i="46"/>
  <c r="H47" i="46"/>
  <c r="G47" i="46"/>
  <c r="F47" i="46"/>
  <c r="E47" i="46"/>
  <c r="D47" i="46"/>
  <c r="C47" i="46"/>
  <c r="B47" i="46"/>
  <c r="K46" i="46"/>
  <c r="J46" i="46"/>
  <c r="I46" i="46"/>
  <c r="H46" i="46"/>
  <c r="G46" i="46"/>
  <c r="F46" i="46"/>
  <c r="E46" i="46"/>
  <c r="D46" i="46"/>
  <c r="C46" i="46"/>
  <c r="B46" i="46"/>
  <c r="K45" i="46"/>
  <c r="J45" i="46"/>
  <c r="I45" i="46"/>
  <c r="H45" i="46"/>
  <c r="G45" i="46"/>
  <c r="F45" i="46"/>
  <c r="E45" i="46"/>
  <c r="D45" i="46"/>
  <c r="C45" i="46"/>
  <c r="B45" i="46"/>
  <c r="K44" i="46"/>
  <c r="J44" i="46"/>
  <c r="I44" i="46"/>
  <c r="H44" i="46"/>
  <c r="G44" i="46"/>
  <c r="F44" i="46"/>
  <c r="E44" i="46"/>
  <c r="D44" i="46"/>
  <c r="C44" i="46"/>
  <c r="B44" i="46"/>
  <c r="K43" i="46"/>
  <c r="J43" i="46"/>
  <c r="I43" i="46"/>
  <c r="H43" i="46"/>
  <c r="G43" i="46"/>
  <c r="F43" i="46"/>
  <c r="E43" i="46"/>
  <c r="D43" i="46"/>
  <c r="C43" i="46"/>
  <c r="B43" i="46"/>
  <c r="O43" i="46" s="1"/>
  <c r="K42" i="46"/>
  <c r="J42" i="46"/>
  <c r="I42" i="46"/>
  <c r="H42" i="46"/>
  <c r="G42" i="46"/>
  <c r="F42" i="46"/>
  <c r="E42" i="46"/>
  <c r="D42" i="46"/>
  <c r="C42" i="46"/>
  <c r="B42" i="46"/>
  <c r="K41" i="46"/>
  <c r="J41" i="46"/>
  <c r="I41" i="46"/>
  <c r="H41" i="46"/>
  <c r="G41" i="46"/>
  <c r="F41" i="46"/>
  <c r="E41" i="46"/>
  <c r="D41" i="46"/>
  <c r="C41" i="46"/>
  <c r="B41" i="46"/>
  <c r="O41" i="46" s="1"/>
  <c r="K40" i="46"/>
  <c r="J40" i="46"/>
  <c r="I40" i="46"/>
  <c r="H40" i="46"/>
  <c r="G40" i="46"/>
  <c r="F40" i="46"/>
  <c r="E40" i="46"/>
  <c r="D40" i="46"/>
  <c r="C40" i="46"/>
  <c r="B40" i="46"/>
  <c r="K39" i="46"/>
  <c r="J39" i="46"/>
  <c r="I39" i="46"/>
  <c r="H39" i="46"/>
  <c r="G39" i="46"/>
  <c r="F39" i="46"/>
  <c r="E39" i="46"/>
  <c r="D39" i="46"/>
  <c r="C39" i="46"/>
  <c r="B39" i="46"/>
  <c r="O39" i="46" s="1"/>
  <c r="K38" i="46"/>
  <c r="J38" i="46"/>
  <c r="I38" i="46"/>
  <c r="H38" i="46"/>
  <c r="G38" i="46"/>
  <c r="F38" i="46"/>
  <c r="E38" i="46"/>
  <c r="D38" i="46"/>
  <c r="C38" i="46"/>
  <c r="B38" i="46"/>
  <c r="K37" i="46"/>
  <c r="J37" i="46"/>
  <c r="I37" i="46"/>
  <c r="H37" i="46"/>
  <c r="G37" i="46"/>
  <c r="F37" i="46"/>
  <c r="E37" i="46"/>
  <c r="D37" i="46"/>
  <c r="C37" i="46"/>
  <c r="B37" i="46"/>
  <c r="O37" i="46" s="1"/>
  <c r="K36" i="46"/>
  <c r="J36" i="46"/>
  <c r="I36" i="46"/>
  <c r="H36" i="46"/>
  <c r="G36" i="46"/>
  <c r="F36" i="46"/>
  <c r="E36" i="46"/>
  <c r="D36" i="46"/>
  <c r="C36" i="46"/>
  <c r="B36" i="46"/>
  <c r="K35" i="46"/>
  <c r="J35" i="46"/>
  <c r="I35" i="46"/>
  <c r="H35" i="46"/>
  <c r="G35" i="46"/>
  <c r="F35" i="46"/>
  <c r="E35" i="46"/>
  <c r="D35" i="46"/>
  <c r="C35" i="46"/>
  <c r="B35" i="46"/>
  <c r="O35" i="46" s="1"/>
  <c r="K34" i="46"/>
  <c r="J34" i="46"/>
  <c r="I34" i="46"/>
  <c r="H34" i="46"/>
  <c r="G34" i="46"/>
  <c r="F34" i="46"/>
  <c r="E34" i="46"/>
  <c r="D34" i="46"/>
  <c r="C34" i="46"/>
  <c r="B34" i="46"/>
  <c r="K33" i="46"/>
  <c r="J33" i="46"/>
  <c r="I33" i="46"/>
  <c r="H33" i="46"/>
  <c r="G33" i="46"/>
  <c r="F33" i="46"/>
  <c r="E33" i="46"/>
  <c r="D33" i="46"/>
  <c r="C33" i="46"/>
  <c r="B33" i="46"/>
  <c r="O33" i="46" s="1"/>
  <c r="K32" i="46"/>
  <c r="J32" i="46"/>
  <c r="I32" i="46"/>
  <c r="H32" i="46"/>
  <c r="G32" i="46"/>
  <c r="F32" i="46"/>
  <c r="E32" i="46"/>
  <c r="D32" i="46"/>
  <c r="C32" i="46"/>
  <c r="B32" i="46"/>
  <c r="K31" i="46"/>
  <c r="J31" i="46"/>
  <c r="I31" i="46"/>
  <c r="H31" i="46"/>
  <c r="G31" i="46"/>
  <c r="F31" i="46"/>
  <c r="E31" i="46"/>
  <c r="D31" i="46"/>
  <c r="C31" i="46"/>
  <c r="B31" i="46"/>
  <c r="O31" i="46" s="1"/>
  <c r="K30" i="46"/>
  <c r="J30" i="46"/>
  <c r="I30" i="46"/>
  <c r="H30" i="46"/>
  <c r="G30" i="46"/>
  <c r="F30" i="46"/>
  <c r="E30" i="46"/>
  <c r="D30" i="46"/>
  <c r="C30" i="46"/>
  <c r="B30" i="46"/>
  <c r="K29" i="46"/>
  <c r="J29" i="46"/>
  <c r="I29" i="46"/>
  <c r="H29" i="46"/>
  <c r="G29" i="46"/>
  <c r="F29" i="46"/>
  <c r="E29" i="46"/>
  <c r="D29" i="46"/>
  <c r="C29" i="46"/>
  <c r="B29" i="46"/>
  <c r="O29" i="46" s="1"/>
  <c r="K28" i="46"/>
  <c r="J28" i="46"/>
  <c r="I28" i="46"/>
  <c r="H28" i="46"/>
  <c r="G28" i="46"/>
  <c r="F28" i="46"/>
  <c r="E28" i="46"/>
  <c r="D28" i="46"/>
  <c r="C28" i="46"/>
  <c r="B28" i="46"/>
  <c r="K27" i="46"/>
  <c r="J27" i="46"/>
  <c r="I27" i="46"/>
  <c r="H27" i="46"/>
  <c r="G27" i="46"/>
  <c r="F27" i="46"/>
  <c r="E27" i="46"/>
  <c r="D27" i="46"/>
  <c r="C27" i="46"/>
  <c r="B27" i="46"/>
  <c r="O27" i="46" s="1"/>
  <c r="K26" i="46"/>
  <c r="J26" i="46"/>
  <c r="I26" i="46"/>
  <c r="H26" i="46"/>
  <c r="G26" i="46"/>
  <c r="F26" i="46"/>
  <c r="E26" i="46"/>
  <c r="D26" i="46"/>
  <c r="L26" i="46" s="1"/>
  <c r="C26" i="46"/>
  <c r="K25" i="46"/>
  <c r="J25" i="46"/>
  <c r="I25" i="46"/>
  <c r="H25" i="46"/>
  <c r="G25" i="46"/>
  <c r="F25" i="46"/>
  <c r="E25" i="46"/>
  <c r="D25" i="46"/>
  <c r="C25" i="46"/>
  <c r="K24" i="46"/>
  <c r="J24" i="46"/>
  <c r="I24" i="46"/>
  <c r="H24" i="46"/>
  <c r="G24" i="46"/>
  <c r="F24" i="46"/>
  <c r="E24" i="46"/>
  <c r="D24" i="46"/>
  <c r="C24" i="46"/>
  <c r="K23" i="46"/>
  <c r="J23" i="46"/>
  <c r="I23" i="46"/>
  <c r="H23" i="46"/>
  <c r="G23" i="46"/>
  <c r="F23" i="46"/>
  <c r="E23" i="46"/>
  <c r="D23" i="46"/>
  <c r="C23" i="46"/>
  <c r="O28" i="46" l="1"/>
  <c r="O32" i="46"/>
  <c r="O36" i="46"/>
  <c r="L37" i="46"/>
  <c r="O40" i="46"/>
  <c r="O42" i="46"/>
  <c r="O44" i="46"/>
  <c r="O46" i="46"/>
  <c r="O48" i="46"/>
  <c r="O50" i="46"/>
  <c r="O52" i="46"/>
  <c r="O54" i="46"/>
  <c r="O56" i="46"/>
  <c r="O58" i="46"/>
  <c r="O60" i="46"/>
  <c r="O62" i="46"/>
  <c r="O64" i="46"/>
  <c r="O66" i="46"/>
  <c r="O68" i="46"/>
  <c r="O70" i="46"/>
  <c r="O72" i="46"/>
  <c r="O74" i="46"/>
  <c r="O76" i="46"/>
  <c r="O78" i="46"/>
  <c r="O80" i="46"/>
  <c r="O82" i="46"/>
  <c r="O84" i="46"/>
  <c r="O86" i="46"/>
  <c r="O88" i="46"/>
  <c r="O24" i="46"/>
  <c r="O73" i="46"/>
  <c r="L29" i="46"/>
  <c r="O30" i="46"/>
  <c r="O34" i="46"/>
  <c r="O38" i="46"/>
  <c r="O23" i="46"/>
  <c r="L79" i="46"/>
  <c r="O79" i="46"/>
  <c r="L87" i="46"/>
  <c r="O87" i="46"/>
  <c r="O26" i="46"/>
  <c r="N26" i="46" s="1"/>
  <c r="L18" i="46"/>
  <c r="O18" i="46"/>
  <c r="O45" i="46"/>
  <c r="L47" i="46"/>
  <c r="M47" i="46" s="1"/>
  <c r="O47" i="46"/>
  <c r="L61" i="46"/>
  <c r="O25" i="46"/>
  <c r="O21" i="46"/>
  <c r="L57" i="46"/>
  <c r="M57" i="46" s="1"/>
  <c r="L25" i="46"/>
  <c r="L81" i="46"/>
  <c r="N81" i="46" s="1"/>
  <c r="L23" i="46"/>
  <c r="N23" i="46" s="1"/>
  <c r="L31" i="46"/>
  <c r="L39" i="46"/>
  <c r="L55" i="46"/>
  <c r="M55" i="46" s="1"/>
  <c r="L45" i="46"/>
  <c r="M45" i="46" s="1"/>
  <c r="L53" i="46"/>
  <c r="M53" i="46" s="1"/>
  <c r="L4" i="46"/>
  <c r="M26" i="46"/>
  <c r="L42" i="46"/>
  <c r="M42" i="46" s="1"/>
  <c r="L36" i="46"/>
  <c r="N36" i="46" s="1"/>
  <c r="L69" i="46"/>
  <c r="M69" i="46" s="1"/>
  <c r="L77" i="46"/>
  <c r="N77" i="46" s="1"/>
  <c r="L63" i="46"/>
  <c r="N63" i="46" s="1"/>
  <c r="L66" i="46"/>
  <c r="L71" i="46"/>
  <c r="L74" i="46"/>
  <c r="L73" i="46"/>
  <c r="M73" i="46" s="1"/>
  <c r="L34" i="46"/>
  <c r="L70" i="46"/>
  <c r="M34" i="46"/>
  <c r="L50" i="46"/>
  <c r="M61" i="46"/>
  <c r="M18" i="46"/>
  <c r="M37" i="46"/>
  <c r="L58" i="46"/>
  <c r="L85" i="46"/>
  <c r="M39" i="46"/>
  <c r="L41" i="46"/>
  <c r="N41" i="46" s="1"/>
  <c r="L82" i="46"/>
  <c r="N82" i="46" s="1"/>
  <c r="L49" i="46"/>
  <c r="L65" i="46"/>
  <c r="M65" i="46" s="1"/>
  <c r="L54" i="46"/>
  <c r="M54" i="46" s="1"/>
  <c r="L62" i="46"/>
  <c r="N62" i="46" s="1"/>
  <c r="L10" i="46"/>
  <c r="M10" i="46" s="1"/>
  <c r="L78" i="46"/>
  <c r="L33" i="46"/>
  <c r="L86" i="46"/>
  <c r="L7" i="46"/>
  <c r="M7" i="46" s="1"/>
  <c r="L2" i="46"/>
  <c r="L5" i="46"/>
  <c r="L21" i="46"/>
  <c r="L15" i="46"/>
  <c r="L13" i="46"/>
  <c r="L17" i="46"/>
  <c r="L9" i="46"/>
  <c r="N29" i="46"/>
  <c r="L6" i="46"/>
  <c r="L14" i="46"/>
  <c r="L22" i="46"/>
  <c r="L30" i="46"/>
  <c r="L38" i="46"/>
  <c r="L46" i="46"/>
  <c r="M79" i="46"/>
  <c r="M87" i="46"/>
  <c r="L52" i="46"/>
  <c r="L68" i="46"/>
  <c r="L76" i="46"/>
  <c r="L84" i="46"/>
  <c r="L28" i="46"/>
  <c r="L44" i="46"/>
  <c r="L60" i="46"/>
  <c r="L19" i="46"/>
  <c r="L27" i="46"/>
  <c r="L35" i="46"/>
  <c r="L43" i="46"/>
  <c r="L51" i="46"/>
  <c r="L59" i="46"/>
  <c r="L67" i="46"/>
  <c r="L75" i="46"/>
  <c r="L83" i="46"/>
  <c r="M29" i="46"/>
  <c r="L12" i="46"/>
  <c r="L20" i="46"/>
  <c r="L11" i="46"/>
  <c r="L3" i="46"/>
  <c r="L24" i="46"/>
  <c r="L32" i="46"/>
  <c r="L64" i="46"/>
  <c r="L80" i="46"/>
  <c r="L88" i="46"/>
  <c r="L16" i="46"/>
  <c r="L40" i="46"/>
  <c r="L72" i="46"/>
  <c r="L8" i="46"/>
  <c r="L48" i="46"/>
  <c r="L56" i="46"/>
  <c r="N25" i="46" l="1"/>
  <c r="M23" i="46"/>
  <c r="N42" i="46"/>
  <c r="N57" i="46"/>
  <c r="M86" i="46"/>
  <c r="M78" i="46"/>
  <c r="N31" i="46"/>
  <c r="M31" i="46"/>
  <c r="M81" i="46"/>
  <c r="N66" i="46"/>
  <c r="M4" i="46"/>
  <c r="M66" i="46"/>
  <c r="M41" i="46"/>
  <c r="N33" i="46"/>
  <c r="N85" i="46"/>
  <c r="M58" i="46"/>
  <c r="N54" i="46"/>
  <c r="N70" i="46"/>
  <c r="M70" i="46"/>
  <c r="N86" i="46"/>
  <c r="N78" i="46"/>
  <c r="M15" i="46"/>
  <c r="M33" i="46"/>
  <c r="N65" i="46"/>
  <c r="M5" i="46"/>
  <c r="N50" i="46"/>
  <c r="N37" i="46"/>
  <c r="N58" i="46"/>
  <c r="N13" i="46"/>
  <c r="M82" i="46"/>
  <c r="M17" i="46"/>
  <c r="M85" i="46"/>
  <c r="N74" i="46"/>
  <c r="M77" i="46"/>
  <c r="M25" i="46"/>
  <c r="N73" i="46"/>
  <c r="M71" i="46"/>
  <c r="M74" i="46"/>
  <c r="N2" i="46"/>
  <c r="N49" i="46"/>
  <c r="M50" i="46"/>
  <c r="N39" i="46"/>
  <c r="N45" i="46"/>
  <c r="N69" i="46"/>
  <c r="M49" i="46"/>
  <c r="M62" i="46"/>
  <c r="N34" i="46"/>
  <c r="M2" i="46"/>
  <c r="N61" i="46"/>
  <c r="N53" i="46"/>
  <c r="N18" i="46"/>
  <c r="N10" i="46"/>
  <c r="N47" i="46"/>
  <c r="M9" i="46"/>
  <c r="M21" i="46"/>
  <c r="N9" i="46"/>
  <c r="N5" i="46"/>
  <c r="N7" i="46"/>
  <c r="N15" i="46"/>
  <c r="N17" i="46"/>
  <c r="M13" i="46"/>
  <c r="N21" i="46"/>
  <c r="N67" i="46"/>
  <c r="M67" i="46"/>
  <c r="M63" i="46"/>
  <c r="N32" i="46"/>
  <c r="M32" i="46"/>
  <c r="N80" i="46"/>
  <c r="M80" i="46"/>
  <c r="N51" i="46"/>
  <c r="M51" i="46"/>
  <c r="N64" i="46"/>
  <c r="M64" i="46"/>
  <c r="N19" i="46"/>
  <c r="M19" i="46"/>
  <c r="M36" i="46"/>
  <c r="N44" i="46"/>
  <c r="M44" i="46"/>
  <c r="N48" i="46"/>
  <c r="M48" i="46"/>
  <c r="N28" i="46"/>
  <c r="M28" i="46"/>
  <c r="N12" i="46"/>
  <c r="M12" i="46"/>
  <c r="N71" i="46"/>
  <c r="N4" i="46"/>
  <c r="N72" i="46"/>
  <c r="M72" i="46"/>
  <c r="N84" i="46"/>
  <c r="M84" i="46"/>
  <c r="N87" i="46"/>
  <c r="N40" i="46"/>
  <c r="M40" i="46"/>
  <c r="N76" i="46"/>
  <c r="M76" i="46"/>
  <c r="N55" i="46"/>
  <c r="N38" i="46"/>
  <c r="M38" i="46"/>
  <c r="N30" i="46"/>
  <c r="M30" i="46"/>
  <c r="N56" i="46"/>
  <c r="M56" i="46"/>
  <c r="N11" i="46"/>
  <c r="M11" i="46"/>
  <c r="N20" i="46"/>
  <c r="M20" i="46"/>
  <c r="M14" i="46"/>
  <c r="N14" i="46"/>
  <c r="N8" i="46"/>
  <c r="M8" i="46"/>
  <c r="N6" i="46"/>
  <c r="M6" i="46"/>
  <c r="N16" i="46"/>
  <c r="M16" i="46"/>
  <c r="N83" i="46"/>
  <c r="M83" i="46"/>
  <c r="N68" i="46"/>
  <c r="M68" i="46"/>
  <c r="N79" i="46"/>
  <c r="N24" i="46"/>
  <c r="M24" i="46"/>
  <c r="N46" i="46"/>
  <c r="M46" i="46"/>
  <c r="N60" i="46"/>
  <c r="M60" i="46"/>
  <c r="N22" i="46"/>
  <c r="M22" i="46"/>
  <c r="N88" i="46"/>
  <c r="M88" i="46"/>
  <c r="N75" i="46"/>
  <c r="M75" i="46"/>
  <c r="N52" i="46"/>
  <c r="M52" i="46"/>
  <c r="N59" i="46"/>
  <c r="M59" i="46"/>
  <c r="N43" i="46"/>
  <c r="M43" i="46"/>
  <c r="N3" i="46"/>
  <c r="M3" i="46"/>
  <c r="N35" i="46"/>
  <c r="M35" i="46"/>
  <c r="N27" i="46"/>
  <c r="M27" i="46"/>
  <c r="K2" i="25" l="1"/>
  <c r="K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J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I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H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G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F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E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D2" i="25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C2" i="25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B2" i="25"/>
  <c r="O2" i="25" s="1"/>
  <c r="B3" i="25"/>
  <c r="O3" i="25" s="1"/>
  <c r="B4" i="25"/>
  <c r="O4" i="25" s="1"/>
  <c r="B5" i="25"/>
  <c r="O5" i="25" s="1"/>
  <c r="B6" i="25"/>
  <c r="O6" i="25" s="1"/>
  <c r="B7" i="25"/>
  <c r="O7" i="25" s="1"/>
  <c r="B8" i="25"/>
  <c r="O8" i="25" s="1"/>
  <c r="B9" i="25"/>
  <c r="O9" i="25" s="1"/>
  <c r="B10" i="25"/>
  <c r="O10" i="25" s="1"/>
  <c r="B11" i="25"/>
  <c r="O11" i="25" s="1"/>
  <c r="B12" i="25"/>
  <c r="O12" i="25" s="1"/>
  <c r="B13" i="25"/>
  <c r="O13" i="25" s="1"/>
  <c r="B14" i="25"/>
  <c r="O14" i="25" s="1"/>
  <c r="B15" i="25"/>
  <c r="O15" i="25" s="1"/>
  <c r="B16" i="25"/>
  <c r="O16" i="25" s="1"/>
  <c r="B17" i="25"/>
  <c r="O17" i="25" s="1"/>
  <c r="B18" i="25"/>
  <c r="O18" i="25" s="1"/>
  <c r="B19" i="25"/>
  <c r="O19" i="25" s="1"/>
  <c r="B20" i="25"/>
  <c r="O20" i="25" s="1"/>
  <c r="B21" i="25"/>
  <c r="B22" i="25"/>
  <c r="O22" i="25" s="1"/>
  <c r="K88" i="25"/>
  <c r="J88" i="25"/>
  <c r="I88" i="25"/>
  <c r="H88" i="25"/>
  <c r="G88" i="25"/>
  <c r="F88" i="25"/>
  <c r="E88" i="25"/>
  <c r="D88" i="25"/>
  <c r="C88" i="25"/>
  <c r="B88" i="25"/>
  <c r="K87" i="25"/>
  <c r="J87" i="25"/>
  <c r="I87" i="25"/>
  <c r="H87" i="25"/>
  <c r="G87" i="25"/>
  <c r="F87" i="25"/>
  <c r="E87" i="25"/>
  <c r="D87" i="25"/>
  <c r="C87" i="25"/>
  <c r="B87" i="25"/>
  <c r="O87" i="25" s="1"/>
  <c r="K86" i="25"/>
  <c r="J86" i="25"/>
  <c r="I86" i="25"/>
  <c r="H86" i="25"/>
  <c r="G86" i="25"/>
  <c r="F86" i="25"/>
  <c r="E86" i="25"/>
  <c r="D86" i="25"/>
  <c r="C86" i="25"/>
  <c r="B86" i="25"/>
  <c r="K85" i="25"/>
  <c r="J85" i="25"/>
  <c r="I85" i="25"/>
  <c r="H85" i="25"/>
  <c r="G85" i="25"/>
  <c r="F85" i="25"/>
  <c r="E85" i="25"/>
  <c r="D85" i="25"/>
  <c r="C85" i="25"/>
  <c r="B85" i="25"/>
  <c r="O85" i="25" s="1"/>
  <c r="K84" i="25"/>
  <c r="J84" i="25"/>
  <c r="I84" i="25"/>
  <c r="H84" i="25"/>
  <c r="G84" i="25"/>
  <c r="F84" i="25"/>
  <c r="E84" i="25"/>
  <c r="D84" i="25"/>
  <c r="C84" i="25"/>
  <c r="B84" i="25"/>
  <c r="K83" i="25"/>
  <c r="J83" i="25"/>
  <c r="I83" i="25"/>
  <c r="H83" i="25"/>
  <c r="G83" i="25"/>
  <c r="F83" i="25"/>
  <c r="E83" i="25"/>
  <c r="D83" i="25"/>
  <c r="C83" i="25"/>
  <c r="B83" i="25"/>
  <c r="O83" i="25" s="1"/>
  <c r="K82" i="25"/>
  <c r="J82" i="25"/>
  <c r="I82" i="25"/>
  <c r="H82" i="25"/>
  <c r="G82" i="25"/>
  <c r="F82" i="25"/>
  <c r="E82" i="25"/>
  <c r="D82" i="25"/>
  <c r="C82" i="25"/>
  <c r="B82" i="25"/>
  <c r="K81" i="25"/>
  <c r="J81" i="25"/>
  <c r="I81" i="25"/>
  <c r="H81" i="25"/>
  <c r="G81" i="25"/>
  <c r="F81" i="25"/>
  <c r="E81" i="25"/>
  <c r="D81" i="25"/>
  <c r="C81" i="25"/>
  <c r="B81" i="25"/>
  <c r="O81" i="25" s="1"/>
  <c r="K80" i="25"/>
  <c r="J80" i="25"/>
  <c r="I80" i="25"/>
  <c r="H80" i="25"/>
  <c r="G80" i="25"/>
  <c r="F80" i="25"/>
  <c r="E80" i="25"/>
  <c r="D80" i="25"/>
  <c r="C80" i="25"/>
  <c r="B80" i="25"/>
  <c r="K79" i="25"/>
  <c r="J79" i="25"/>
  <c r="I79" i="25"/>
  <c r="H79" i="25"/>
  <c r="G79" i="25"/>
  <c r="F79" i="25"/>
  <c r="E79" i="25"/>
  <c r="D79" i="25"/>
  <c r="C79" i="25"/>
  <c r="B79" i="25"/>
  <c r="O79" i="25" s="1"/>
  <c r="K78" i="25"/>
  <c r="J78" i="25"/>
  <c r="I78" i="25"/>
  <c r="H78" i="25"/>
  <c r="G78" i="25"/>
  <c r="F78" i="25"/>
  <c r="E78" i="25"/>
  <c r="D78" i="25"/>
  <c r="C78" i="25"/>
  <c r="B78" i="25"/>
  <c r="K77" i="25"/>
  <c r="J77" i="25"/>
  <c r="I77" i="25"/>
  <c r="H77" i="25"/>
  <c r="G77" i="25"/>
  <c r="F77" i="25"/>
  <c r="E77" i="25"/>
  <c r="D77" i="25"/>
  <c r="C77" i="25"/>
  <c r="B77" i="25"/>
  <c r="O77" i="25" s="1"/>
  <c r="K76" i="25"/>
  <c r="J76" i="25"/>
  <c r="I76" i="25"/>
  <c r="H76" i="25"/>
  <c r="G76" i="25"/>
  <c r="F76" i="25"/>
  <c r="E76" i="25"/>
  <c r="D76" i="25"/>
  <c r="C76" i="25"/>
  <c r="B76" i="25"/>
  <c r="K75" i="25"/>
  <c r="J75" i="25"/>
  <c r="I75" i="25"/>
  <c r="H75" i="25"/>
  <c r="G75" i="25"/>
  <c r="F75" i="25"/>
  <c r="E75" i="25"/>
  <c r="D75" i="25"/>
  <c r="C75" i="25"/>
  <c r="B75" i="25"/>
  <c r="O75" i="25" s="1"/>
  <c r="K74" i="25"/>
  <c r="J74" i="25"/>
  <c r="I74" i="25"/>
  <c r="H74" i="25"/>
  <c r="G74" i="25"/>
  <c r="F74" i="25"/>
  <c r="E74" i="25"/>
  <c r="D74" i="25"/>
  <c r="C74" i="25"/>
  <c r="B74" i="25"/>
  <c r="K73" i="25"/>
  <c r="J73" i="25"/>
  <c r="I73" i="25"/>
  <c r="H73" i="25"/>
  <c r="G73" i="25"/>
  <c r="F73" i="25"/>
  <c r="E73" i="25"/>
  <c r="D73" i="25"/>
  <c r="C73" i="25"/>
  <c r="B73" i="25"/>
  <c r="O73" i="25" s="1"/>
  <c r="K72" i="25"/>
  <c r="J72" i="25"/>
  <c r="I72" i="25"/>
  <c r="H72" i="25"/>
  <c r="G72" i="25"/>
  <c r="F72" i="25"/>
  <c r="E72" i="25"/>
  <c r="D72" i="25"/>
  <c r="C72" i="25"/>
  <c r="B72" i="25"/>
  <c r="K71" i="25"/>
  <c r="J71" i="25"/>
  <c r="I71" i="25"/>
  <c r="H71" i="25"/>
  <c r="G71" i="25"/>
  <c r="F71" i="25"/>
  <c r="E71" i="25"/>
  <c r="D71" i="25"/>
  <c r="C71" i="25"/>
  <c r="B71" i="25"/>
  <c r="O71" i="25" s="1"/>
  <c r="K70" i="25"/>
  <c r="J70" i="25"/>
  <c r="I70" i="25"/>
  <c r="H70" i="25"/>
  <c r="G70" i="25"/>
  <c r="F70" i="25"/>
  <c r="E70" i="25"/>
  <c r="D70" i="25"/>
  <c r="C70" i="25"/>
  <c r="B70" i="25"/>
  <c r="K69" i="25"/>
  <c r="J69" i="25"/>
  <c r="I69" i="25"/>
  <c r="H69" i="25"/>
  <c r="G69" i="25"/>
  <c r="F69" i="25"/>
  <c r="E69" i="25"/>
  <c r="D69" i="25"/>
  <c r="C69" i="25"/>
  <c r="B69" i="25"/>
  <c r="O69" i="25" s="1"/>
  <c r="K68" i="25"/>
  <c r="J68" i="25"/>
  <c r="I68" i="25"/>
  <c r="H68" i="25"/>
  <c r="G68" i="25"/>
  <c r="F68" i="25"/>
  <c r="E68" i="25"/>
  <c r="D68" i="25"/>
  <c r="C68" i="25"/>
  <c r="B68" i="25"/>
  <c r="K67" i="25"/>
  <c r="J67" i="25"/>
  <c r="I67" i="25"/>
  <c r="H67" i="25"/>
  <c r="G67" i="25"/>
  <c r="F67" i="25"/>
  <c r="E67" i="25"/>
  <c r="D67" i="25"/>
  <c r="C67" i="25"/>
  <c r="B67" i="25"/>
  <c r="O67" i="25" s="1"/>
  <c r="K66" i="25"/>
  <c r="J66" i="25"/>
  <c r="I66" i="25"/>
  <c r="H66" i="25"/>
  <c r="G66" i="25"/>
  <c r="F66" i="25"/>
  <c r="E66" i="25"/>
  <c r="D66" i="25"/>
  <c r="C66" i="25"/>
  <c r="B66" i="25"/>
  <c r="K65" i="25"/>
  <c r="J65" i="25"/>
  <c r="I65" i="25"/>
  <c r="H65" i="25"/>
  <c r="G65" i="25"/>
  <c r="F65" i="25"/>
  <c r="E65" i="25"/>
  <c r="D65" i="25"/>
  <c r="C65" i="25"/>
  <c r="B65" i="25"/>
  <c r="O65" i="25" s="1"/>
  <c r="K64" i="25"/>
  <c r="J64" i="25"/>
  <c r="I64" i="25"/>
  <c r="H64" i="25"/>
  <c r="G64" i="25"/>
  <c r="F64" i="25"/>
  <c r="E64" i="25"/>
  <c r="D64" i="25"/>
  <c r="C64" i="25"/>
  <c r="B64" i="25"/>
  <c r="K63" i="25"/>
  <c r="J63" i="25"/>
  <c r="I63" i="25"/>
  <c r="H63" i="25"/>
  <c r="G63" i="25"/>
  <c r="F63" i="25"/>
  <c r="E63" i="25"/>
  <c r="D63" i="25"/>
  <c r="C63" i="25"/>
  <c r="B63" i="25"/>
  <c r="O63" i="25" s="1"/>
  <c r="K62" i="25"/>
  <c r="J62" i="25"/>
  <c r="I62" i="25"/>
  <c r="H62" i="25"/>
  <c r="G62" i="25"/>
  <c r="F62" i="25"/>
  <c r="E62" i="25"/>
  <c r="D62" i="25"/>
  <c r="C62" i="25"/>
  <c r="B62" i="25"/>
  <c r="K61" i="25"/>
  <c r="J61" i="25"/>
  <c r="I61" i="25"/>
  <c r="H61" i="25"/>
  <c r="G61" i="25"/>
  <c r="F61" i="25"/>
  <c r="E61" i="25"/>
  <c r="D61" i="25"/>
  <c r="C61" i="25"/>
  <c r="B61" i="25"/>
  <c r="O61" i="25" s="1"/>
  <c r="K60" i="25"/>
  <c r="J60" i="25"/>
  <c r="I60" i="25"/>
  <c r="H60" i="25"/>
  <c r="G60" i="25"/>
  <c r="F60" i="25"/>
  <c r="E60" i="25"/>
  <c r="D60" i="25"/>
  <c r="C60" i="25"/>
  <c r="B60" i="25"/>
  <c r="K59" i="25"/>
  <c r="J59" i="25"/>
  <c r="I59" i="25"/>
  <c r="H59" i="25"/>
  <c r="G59" i="25"/>
  <c r="F59" i="25"/>
  <c r="E59" i="25"/>
  <c r="D59" i="25"/>
  <c r="C59" i="25"/>
  <c r="B59" i="25"/>
  <c r="O59" i="25" s="1"/>
  <c r="K58" i="25"/>
  <c r="J58" i="25"/>
  <c r="I58" i="25"/>
  <c r="H58" i="25"/>
  <c r="G58" i="25"/>
  <c r="F58" i="25"/>
  <c r="E58" i="25"/>
  <c r="D58" i="25"/>
  <c r="C58" i="25"/>
  <c r="B58" i="25"/>
  <c r="K57" i="25"/>
  <c r="J57" i="25"/>
  <c r="I57" i="25"/>
  <c r="H57" i="25"/>
  <c r="G57" i="25"/>
  <c r="F57" i="25"/>
  <c r="E57" i="25"/>
  <c r="D57" i="25"/>
  <c r="C57" i="25"/>
  <c r="B57" i="25"/>
  <c r="O57" i="25" s="1"/>
  <c r="K56" i="25"/>
  <c r="J56" i="25"/>
  <c r="I56" i="25"/>
  <c r="H56" i="25"/>
  <c r="G56" i="25"/>
  <c r="F56" i="25"/>
  <c r="E56" i="25"/>
  <c r="D56" i="25"/>
  <c r="C56" i="25"/>
  <c r="B56" i="25"/>
  <c r="K55" i="25"/>
  <c r="J55" i="25"/>
  <c r="I55" i="25"/>
  <c r="H55" i="25"/>
  <c r="G55" i="25"/>
  <c r="F55" i="25"/>
  <c r="E55" i="25"/>
  <c r="D55" i="25"/>
  <c r="C55" i="25"/>
  <c r="B55" i="25"/>
  <c r="O55" i="25" s="1"/>
  <c r="K54" i="25"/>
  <c r="J54" i="25"/>
  <c r="I54" i="25"/>
  <c r="H54" i="25"/>
  <c r="G54" i="25"/>
  <c r="F54" i="25"/>
  <c r="E54" i="25"/>
  <c r="D54" i="25"/>
  <c r="C54" i="25"/>
  <c r="B54" i="25"/>
  <c r="K53" i="25"/>
  <c r="J53" i="25"/>
  <c r="I53" i="25"/>
  <c r="H53" i="25"/>
  <c r="G53" i="25"/>
  <c r="F53" i="25"/>
  <c r="E53" i="25"/>
  <c r="D53" i="25"/>
  <c r="C53" i="25"/>
  <c r="B53" i="25"/>
  <c r="O53" i="25" s="1"/>
  <c r="K52" i="25"/>
  <c r="J52" i="25"/>
  <c r="I52" i="25"/>
  <c r="H52" i="25"/>
  <c r="G52" i="25"/>
  <c r="F52" i="25"/>
  <c r="E52" i="25"/>
  <c r="D52" i="25"/>
  <c r="C52" i="25"/>
  <c r="B52" i="25"/>
  <c r="K51" i="25"/>
  <c r="J51" i="25"/>
  <c r="I51" i="25"/>
  <c r="H51" i="25"/>
  <c r="G51" i="25"/>
  <c r="F51" i="25"/>
  <c r="E51" i="25"/>
  <c r="D51" i="25"/>
  <c r="C51" i="25"/>
  <c r="B51" i="25"/>
  <c r="O51" i="25" s="1"/>
  <c r="K50" i="25"/>
  <c r="J50" i="25"/>
  <c r="I50" i="25"/>
  <c r="H50" i="25"/>
  <c r="G50" i="25"/>
  <c r="F50" i="25"/>
  <c r="E50" i="25"/>
  <c r="D50" i="25"/>
  <c r="C50" i="25"/>
  <c r="B50" i="25"/>
  <c r="K49" i="25"/>
  <c r="J49" i="25"/>
  <c r="I49" i="25"/>
  <c r="H49" i="25"/>
  <c r="G49" i="25"/>
  <c r="F49" i="25"/>
  <c r="E49" i="25"/>
  <c r="D49" i="25"/>
  <c r="C49" i="25"/>
  <c r="B49" i="25"/>
  <c r="O49" i="25" s="1"/>
  <c r="K48" i="25"/>
  <c r="J48" i="25"/>
  <c r="I48" i="25"/>
  <c r="H48" i="25"/>
  <c r="G48" i="25"/>
  <c r="F48" i="25"/>
  <c r="E48" i="25"/>
  <c r="D48" i="25"/>
  <c r="C48" i="25"/>
  <c r="B48" i="25"/>
  <c r="K47" i="25"/>
  <c r="J47" i="25"/>
  <c r="I47" i="25"/>
  <c r="H47" i="25"/>
  <c r="G47" i="25"/>
  <c r="F47" i="25"/>
  <c r="E47" i="25"/>
  <c r="D47" i="25"/>
  <c r="C47" i="25"/>
  <c r="B47" i="25"/>
  <c r="O47" i="25" s="1"/>
  <c r="K46" i="25"/>
  <c r="J46" i="25"/>
  <c r="I46" i="25"/>
  <c r="H46" i="25"/>
  <c r="G46" i="25"/>
  <c r="F46" i="25"/>
  <c r="E46" i="25"/>
  <c r="D46" i="25"/>
  <c r="C46" i="25"/>
  <c r="B46" i="25"/>
  <c r="K45" i="25"/>
  <c r="J45" i="25"/>
  <c r="I45" i="25"/>
  <c r="H45" i="25"/>
  <c r="G45" i="25"/>
  <c r="F45" i="25"/>
  <c r="E45" i="25"/>
  <c r="D45" i="25"/>
  <c r="C45" i="25"/>
  <c r="B45" i="25"/>
  <c r="O45" i="25" s="1"/>
  <c r="K44" i="25"/>
  <c r="J44" i="25"/>
  <c r="I44" i="25"/>
  <c r="H44" i="25"/>
  <c r="G44" i="25"/>
  <c r="F44" i="25"/>
  <c r="E44" i="25"/>
  <c r="D44" i="25"/>
  <c r="C44" i="25"/>
  <c r="B44" i="25"/>
  <c r="K43" i="25"/>
  <c r="J43" i="25"/>
  <c r="I43" i="25"/>
  <c r="H43" i="25"/>
  <c r="G43" i="25"/>
  <c r="F43" i="25"/>
  <c r="E43" i="25"/>
  <c r="D43" i="25"/>
  <c r="C43" i="25"/>
  <c r="B43" i="25"/>
  <c r="O43" i="25" s="1"/>
  <c r="K42" i="25"/>
  <c r="J42" i="25"/>
  <c r="I42" i="25"/>
  <c r="H42" i="25"/>
  <c r="G42" i="25"/>
  <c r="F42" i="25"/>
  <c r="E42" i="25"/>
  <c r="D42" i="25"/>
  <c r="C42" i="25"/>
  <c r="B42" i="25"/>
  <c r="K41" i="25"/>
  <c r="J41" i="25"/>
  <c r="I41" i="25"/>
  <c r="H41" i="25"/>
  <c r="G41" i="25"/>
  <c r="F41" i="25"/>
  <c r="E41" i="25"/>
  <c r="D41" i="25"/>
  <c r="C41" i="25"/>
  <c r="B41" i="25"/>
  <c r="K40" i="25"/>
  <c r="J40" i="25"/>
  <c r="I40" i="25"/>
  <c r="H40" i="25"/>
  <c r="G40" i="25"/>
  <c r="F40" i="25"/>
  <c r="E40" i="25"/>
  <c r="D40" i="25"/>
  <c r="C40" i="25"/>
  <c r="B40" i="25"/>
  <c r="K39" i="25"/>
  <c r="J39" i="25"/>
  <c r="I39" i="25"/>
  <c r="H39" i="25"/>
  <c r="G39" i="25"/>
  <c r="F39" i="25"/>
  <c r="E39" i="25"/>
  <c r="D39" i="25"/>
  <c r="C39" i="25"/>
  <c r="B39" i="25"/>
  <c r="O39" i="25" s="1"/>
  <c r="K38" i="25"/>
  <c r="J38" i="25"/>
  <c r="I38" i="25"/>
  <c r="H38" i="25"/>
  <c r="G38" i="25"/>
  <c r="F38" i="25"/>
  <c r="E38" i="25"/>
  <c r="D38" i="25"/>
  <c r="L38" i="25" s="1"/>
  <c r="C38" i="25"/>
  <c r="B38" i="25"/>
  <c r="K37" i="25"/>
  <c r="J37" i="25"/>
  <c r="I37" i="25"/>
  <c r="H37" i="25"/>
  <c r="G37" i="25"/>
  <c r="F37" i="25"/>
  <c r="E37" i="25"/>
  <c r="D37" i="25"/>
  <c r="C37" i="25"/>
  <c r="B37" i="25"/>
  <c r="O37" i="25" s="1"/>
  <c r="K36" i="25"/>
  <c r="J36" i="25"/>
  <c r="I36" i="25"/>
  <c r="H36" i="25"/>
  <c r="G36" i="25"/>
  <c r="F36" i="25"/>
  <c r="E36" i="25"/>
  <c r="D36" i="25"/>
  <c r="C36" i="25"/>
  <c r="B36" i="25"/>
  <c r="K35" i="25"/>
  <c r="J35" i="25"/>
  <c r="I35" i="25"/>
  <c r="H35" i="25"/>
  <c r="G35" i="25"/>
  <c r="F35" i="25"/>
  <c r="E35" i="25"/>
  <c r="D35" i="25"/>
  <c r="C35" i="25"/>
  <c r="B35" i="25"/>
  <c r="O35" i="25" s="1"/>
  <c r="K34" i="25"/>
  <c r="J34" i="25"/>
  <c r="I34" i="25"/>
  <c r="H34" i="25"/>
  <c r="G34" i="25"/>
  <c r="F34" i="25"/>
  <c r="E34" i="25"/>
  <c r="D34" i="25"/>
  <c r="C34" i="25"/>
  <c r="B34" i="25"/>
  <c r="K33" i="25"/>
  <c r="J33" i="25"/>
  <c r="I33" i="25"/>
  <c r="H33" i="25"/>
  <c r="G33" i="25"/>
  <c r="F33" i="25"/>
  <c r="E33" i="25"/>
  <c r="D33" i="25"/>
  <c r="C33" i="25"/>
  <c r="B33" i="25"/>
  <c r="O33" i="25" s="1"/>
  <c r="K32" i="25"/>
  <c r="J32" i="25"/>
  <c r="I32" i="25"/>
  <c r="H32" i="25"/>
  <c r="G32" i="25"/>
  <c r="F32" i="25"/>
  <c r="E32" i="25"/>
  <c r="D32" i="25"/>
  <c r="C32" i="25"/>
  <c r="B32" i="25"/>
  <c r="K31" i="25"/>
  <c r="J31" i="25"/>
  <c r="I31" i="25"/>
  <c r="H31" i="25"/>
  <c r="G31" i="25"/>
  <c r="F31" i="25"/>
  <c r="E31" i="25"/>
  <c r="D31" i="25"/>
  <c r="C31" i="25"/>
  <c r="B31" i="25"/>
  <c r="O31" i="25" s="1"/>
  <c r="K30" i="25"/>
  <c r="J30" i="25"/>
  <c r="I30" i="25"/>
  <c r="H30" i="25"/>
  <c r="G30" i="25"/>
  <c r="F30" i="25"/>
  <c r="E30" i="25"/>
  <c r="D30" i="25"/>
  <c r="C30" i="25"/>
  <c r="B30" i="25"/>
  <c r="K29" i="25"/>
  <c r="J29" i="25"/>
  <c r="I29" i="25"/>
  <c r="H29" i="25"/>
  <c r="G29" i="25"/>
  <c r="F29" i="25"/>
  <c r="E29" i="25"/>
  <c r="D29" i="25"/>
  <c r="C29" i="25"/>
  <c r="B29" i="25"/>
  <c r="O29" i="25" s="1"/>
  <c r="K28" i="25"/>
  <c r="J28" i="25"/>
  <c r="I28" i="25"/>
  <c r="H28" i="25"/>
  <c r="G28" i="25"/>
  <c r="F28" i="25"/>
  <c r="E28" i="25"/>
  <c r="D28" i="25"/>
  <c r="C28" i="25"/>
  <c r="B28" i="25"/>
  <c r="K27" i="25"/>
  <c r="J27" i="25"/>
  <c r="I27" i="25"/>
  <c r="H27" i="25"/>
  <c r="G27" i="25"/>
  <c r="F27" i="25"/>
  <c r="E27" i="25"/>
  <c r="D27" i="25"/>
  <c r="C27" i="25"/>
  <c r="B27" i="25"/>
  <c r="O27" i="25" s="1"/>
  <c r="K26" i="25"/>
  <c r="J26" i="25"/>
  <c r="I26" i="25"/>
  <c r="H26" i="25"/>
  <c r="G26" i="25"/>
  <c r="F26" i="25"/>
  <c r="E26" i="25"/>
  <c r="D26" i="25"/>
  <c r="C26" i="25"/>
  <c r="B26" i="25"/>
  <c r="K25" i="25"/>
  <c r="J25" i="25"/>
  <c r="I25" i="25"/>
  <c r="H25" i="25"/>
  <c r="G25" i="25"/>
  <c r="F25" i="25"/>
  <c r="E25" i="25"/>
  <c r="D25" i="25"/>
  <c r="C25" i="25"/>
  <c r="B25" i="25"/>
  <c r="O25" i="25" s="1"/>
  <c r="K24" i="25"/>
  <c r="J24" i="25"/>
  <c r="I24" i="25"/>
  <c r="H24" i="25"/>
  <c r="G24" i="25"/>
  <c r="F24" i="25"/>
  <c r="E24" i="25"/>
  <c r="D24" i="25"/>
  <c r="C24" i="25"/>
  <c r="B24" i="25"/>
  <c r="K23" i="25"/>
  <c r="J23" i="25"/>
  <c r="I23" i="25"/>
  <c r="H23" i="25"/>
  <c r="G23" i="25"/>
  <c r="F23" i="25"/>
  <c r="E23" i="25"/>
  <c r="D23" i="25"/>
  <c r="C23" i="25"/>
  <c r="B23" i="25"/>
  <c r="O23" i="25" s="1"/>
  <c r="L19" i="25"/>
  <c r="O41" i="25" l="1"/>
  <c r="O24" i="25"/>
  <c r="O32" i="25"/>
  <c r="O36" i="25"/>
  <c r="O38" i="25"/>
  <c r="O40" i="25"/>
  <c r="O42" i="25"/>
  <c r="O44" i="25"/>
  <c r="O46" i="25"/>
  <c r="O48" i="25"/>
  <c r="O50" i="25"/>
  <c r="O52" i="25"/>
  <c r="O54" i="25"/>
  <c r="O56" i="25"/>
  <c r="O58" i="25"/>
  <c r="O60" i="25"/>
  <c r="O62" i="25"/>
  <c r="O64" i="25"/>
  <c r="O66" i="25"/>
  <c r="O68" i="25"/>
  <c r="O70" i="25"/>
  <c r="O72" i="25"/>
  <c r="O74" i="25"/>
  <c r="O76" i="25"/>
  <c r="O78" i="25"/>
  <c r="O80" i="25"/>
  <c r="O82" i="25"/>
  <c r="O84" i="25"/>
  <c r="O86" i="25"/>
  <c r="O88" i="25"/>
  <c r="O26" i="25"/>
  <c r="O28" i="25"/>
  <c r="O30" i="25"/>
  <c r="O34" i="25"/>
  <c r="O21" i="25"/>
  <c r="L87" i="25"/>
  <c r="L47" i="25"/>
  <c r="M47" i="25" s="1"/>
  <c r="L39" i="25"/>
  <c r="M39" i="25" s="1"/>
  <c r="L78" i="25"/>
  <c r="M78" i="25" s="1"/>
  <c r="L30" i="25"/>
  <c r="N30" i="25" s="1"/>
  <c r="M38" i="25"/>
  <c r="L46" i="25"/>
  <c r="N46" i="25" s="1"/>
  <c r="L54" i="25"/>
  <c r="M54" i="25" s="1"/>
  <c r="L86" i="25"/>
  <c r="L23" i="25"/>
  <c r="N23" i="25" s="1"/>
  <c r="M62" i="25"/>
  <c r="L31" i="25"/>
  <c r="M31" i="25" s="1"/>
  <c r="L55" i="25"/>
  <c r="L63" i="25"/>
  <c r="L71" i="25"/>
  <c r="L79" i="25"/>
  <c r="L27" i="25"/>
  <c r="L32" i="25"/>
  <c r="L62" i="25"/>
  <c r="L29" i="25"/>
  <c r="N29" i="25" s="1"/>
  <c r="L70" i="25"/>
  <c r="L24" i="25"/>
  <c r="M24" i="25" s="1"/>
  <c r="L45" i="25"/>
  <c r="N45" i="25" s="1"/>
  <c r="L53" i="25"/>
  <c r="L61" i="25"/>
  <c r="L69" i="25"/>
  <c r="L77" i="25"/>
  <c r="L85" i="25"/>
  <c r="L4" i="25"/>
  <c r="L11" i="25"/>
  <c r="M11" i="25" s="1"/>
  <c r="L8" i="25"/>
  <c r="L16" i="25"/>
  <c r="L7" i="25"/>
  <c r="M7" i="25" s="1"/>
  <c r="L22" i="25"/>
  <c r="L6" i="25"/>
  <c r="L21" i="25"/>
  <c r="L15" i="25"/>
  <c r="L14" i="25"/>
  <c r="L5" i="25"/>
  <c r="L13" i="25"/>
  <c r="N38" i="25"/>
  <c r="M79" i="25"/>
  <c r="M87" i="25"/>
  <c r="L37" i="25"/>
  <c r="L68" i="25"/>
  <c r="L76" i="25"/>
  <c r="L84" i="25"/>
  <c r="L12" i="25"/>
  <c r="L36" i="25"/>
  <c r="L44" i="25"/>
  <c r="L52" i="25"/>
  <c r="L60" i="25"/>
  <c r="L20" i="25"/>
  <c r="L35" i="25"/>
  <c r="L51" i="25"/>
  <c r="L59" i="25"/>
  <c r="L67" i="25"/>
  <c r="L75" i="25"/>
  <c r="L83" i="25"/>
  <c r="L3" i="25"/>
  <c r="L43" i="25"/>
  <c r="L2" i="25"/>
  <c r="L10" i="25"/>
  <c r="L18" i="25"/>
  <c r="L26" i="25"/>
  <c r="L34" i="25"/>
  <c r="L42" i="25"/>
  <c r="L50" i="25"/>
  <c r="L58" i="25"/>
  <c r="L66" i="25"/>
  <c r="L74" i="25"/>
  <c r="L82" i="25"/>
  <c r="L28" i="25"/>
  <c r="M19" i="25"/>
  <c r="L9" i="25"/>
  <c r="L17" i="25"/>
  <c r="L25" i="25"/>
  <c r="L33" i="25"/>
  <c r="L41" i="25"/>
  <c r="L49" i="25"/>
  <c r="L57" i="25"/>
  <c r="L65" i="25"/>
  <c r="L73" i="25"/>
  <c r="L81" i="25"/>
  <c r="L40" i="25"/>
  <c r="L48" i="25"/>
  <c r="L56" i="25"/>
  <c r="L64" i="25"/>
  <c r="L72" i="25"/>
  <c r="L80" i="25"/>
  <c r="L88" i="25"/>
  <c r="N54" i="25" l="1"/>
  <c r="N86" i="25"/>
  <c r="M30" i="25"/>
  <c r="M70" i="25"/>
  <c r="N61" i="25"/>
  <c r="M71" i="25"/>
  <c r="N24" i="25"/>
  <c r="N27" i="25"/>
  <c r="N69" i="25"/>
  <c r="N62" i="25"/>
  <c r="N85" i="25"/>
  <c r="M69" i="25"/>
  <c r="N78" i="25"/>
  <c r="N32" i="25"/>
  <c r="M86" i="25"/>
  <c r="M63" i="25"/>
  <c r="M16" i="25"/>
  <c r="M55" i="25"/>
  <c r="N4" i="25"/>
  <c r="N53" i="25"/>
  <c r="M32" i="25"/>
  <c r="M85" i="25"/>
  <c r="M61" i="25"/>
  <c r="N70" i="25"/>
  <c r="N77" i="25"/>
  <c r="M46" i="25"/>
  <c r="N5" i="25"/>
  <c r="M53" i="25"/>
  <c r="M8" i="25"/>
  <c r="M45" i="25"/>
  <c r="M15" i="25"/>
  <c r="M77" i="25"/>
  <c r="N13" i="25"/>
  <c r="N8" i="25"/>
  <c r="N21" i="25"/>
  <c r="M14" i="25"/>
  <c r="N6" i="25"/>
  <c r="N14" i="25"/>
  <c r="M6" i="25"/>
  <c r="N22" i="25"/>
  <c r="M22" i="25"/>
  <c r="N16" i="25"/>
  <c r="N7" i="25"/>
  <c r="N19" i="25"/>
  <c r="N11" i="25"/>
  <c r="M23" i="25"/>
  <c r="N79" i="25"/>
  <c r="M21" i="25"/>
  <c r="N25" i="25"/>
  <c r="M25" i="25"/>
  <c r="N10" i="25"/>
  <c r="M10" i="25"/>
  <c r="N60" i="25"/>
  <c r="M60" i="25"/>
  <c r="M5" i="25"/>
  <c r="N47" i="25"/>
  <c r="M4" i="25"/>
  <c r="N44" i="25"/>
  <c r="M44" i="25"/>
  <c r="N81" i="25"/>
  <c r="M81" i="25"/>
  <c r="N71" i="25"/>
  <c r="N39" i="25"/>
  <c r="M27" i="25"/>
  <c r="N66" i="25"/>
  <c r="M66" i="25"/>
  <c r="N3" i="25"/>
  <c r="M3" i="25"/>
  <c r="N12" i="25"/>
  <c r="M12" i="25"/>
  <c r="M51" i="25"/>
  <c r="N51" i="25"/>
  <c r="N65" i="25"/>
  <c r="M65" i="25"/>
  <c r="N20" i="25"/>
  <c r="M20" i="25"/>
  <c r="N57" i="25"/>
  <c r="M57" i="25"/>
  <c r="N43" i="25"/>
  <c r="M43" i="25"/>
  <c r="N36" i="25"/>
  <c r="M36" i="25"/>
  <c r="N72" i="25"/>
  <c r="M72" i="25"/>
  <c r="N64" i="25"/>
  <c r="M64" i="25"/>
  <c r="N15" i="25"/>
  <c r="N50" i="25"/>
  <c r="M50" i="25"/>
  <c r="N42" i="25"/>
  <c r="M42" i="25"/>
  <c r="N83" i="25"/>
  <c r="M83" i="25"/>
  <c r="N84" i="25"/>
  <c r="M84" i="25"/>
  <c r="N56" i="25"/>
  <c r="M56" i="25"/>
  <c r="N28" i="25"/>
  <c r="M28" i="25"/>
  <c r="N75" i="25"/>
  <c r="M75" i="25"/>
  <c r="N76" i="25"/>
  <c r="M76" i="25"/>
  <c r="N87" i="25"/>
  <c r="N63" i="25"/>
  <c r="N49" i="25"/>
  <c r="M49" i="25"/>
  <c r="N34" i="25"/>
  <c r="M34" i="25"/>
  <c r="N41" i="25"/>
  <c r="M41" i="25"/>
  <c r="N26" i="25"/>
  <c r="M26" i="25"/>
  <c r="N33" i="25"/>
  <c r="M33" i="25"/>
  <c r="N18" i="25"/>
  <c r="M18" i="25"/>
  <c r="N17" i="25"/>
  <c r="M17" i="25"/>
  <c r="N2" i="25"/>
  <c r="M2" i="25"/>
  <c r="N52" i="25"/>
  <c r="M52" i="25"/>
  <c r="N88" i="25"/>
  <c r="M88" i="25"/>
  <c r="N9" i="25"/>
  <c r="M9" i="25"/>
  <c r="N80" i="25"/>
  <c r="M80" i="25"/>
  <c r="N48" i="25"/>
  <c r="M48" i="25"/>
  <c r="N82" i="25"/>
  <c r="M82" i="25"/>
  <c r="N67" i="25"/>
  <c r="M67" i="25"/>
  <c r="N68" i="25"/>
  <c r="M68" i="25"/>
  <c r="N40" i="25"/>
  <c r="M40" i="25"/>
  <c r="N74" i="25"/>
  <c r="M74" i="25"/>
  <c r="N59" i="25"/>
  <c r="M59" i="25"/>
  <c r="N37" i="25"/>
  <c r="M37" i="25"/>
  <c r="N31" i="25"/>
  <c r="M13" i="25"/>
  <c r="N73" i="25"/>
  <c r="M73" i="25"/>
  <c r="N58" i="25"/>
  <c r="M58" i="25"/>
  <c r="M35" i="25"/>
  <c r="N35" i="25"/>
  <c r="N55" i="25"/>
  <c r="M29" i="25"/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B2" i="4"/>
  <c r="O2" i="4" s="1"/>
  <c r="B3" i="4"/>
  <c r="B4" i="4"/>
  <c r="O4" i="4" s="1"/>
  <c r="B5" i="4"/>
  <c r="O5" i="4" s="1"/>
  <c r="B6" i="4"/>
  <c r="O6" i="4" s="1"/>
  <c r="B7" i="4"/>
  <c r="O7" i="4" s="1"/>
  <c r="B8" i="4"/>
  <c r="O8" i="4" s="1"/>
  <c r="B9" i="4"/>
  <c r="O9" i="4" s="1"/>
  <c r="B10" i="4"/>
  <c r="O10" i="4" s="1"/>
  <c r="B11" i="4"/>
  <c r="O11" i="4" s="1"/>
  <c r="B12" i="4"/>
  <c r="O12" i="4" s="1"/>
  <c r="B13" i="4"/>
  <c r="O13" i="4" s="1"/>
  <c r="B14" i="4"/>
  <c r="O14" i="4" s="1"/>
  <c r="B15" i="4"/>
  <c r="O15" i="4" s="1"/>
  <c r="B16" i="4"/>
  <c r="O16" i="4" s="1"/>
  <c r="B17" i="4"/>
  <c r="O17" i="4" s="1"/>
  <c r="B18" i="4"/>
  <c r="O18" i="4" s="1"/>
  <c r="B19" i="4"/>
  <c r="O19" i="4" s="1"/>
  <c r="B20" i="4"/>
  <c r="O20" i="4" s="1"/>
  <c r="B21" i="4"/>
  <c r="B22" i="4"/>
  <c r="O22" i="4" s="1"/>
  <c r="B23" i="4"/>
  <c r="O23" i="4" s="1"/>
  <c r="K88" i="4"/>
  <c r="J88" i="4"/>
  <c r="I88" i="4"/>
  <c r="H88" i="4"/>
  <c r="G88" i="4"/>
  <c r="F88" i="4"/>
  <c r="E88" i="4"/>
  <c r="D88" i="4"/>
  <c r="C88" i="4"/>
  <c r="B88" i="4"/>
  <c r="K87" i="4"/>
  <c r="J87" i="4"/>
  <c r="I87" i="4"/>
  <c r="H87" i="4"/>
  <c r="G87" i="4"/>
  <c r="F87" i="4"/>
  <c r="E87" i="4"/>
  <c r="D87" i="4"/>
  <c r="C87" i="4"/>
  <c r="B87" i="4"/>
  <c r="K86" i="4"/>
  <c r="J86" i="4"/>
  <c r="I86" i="4"/>
  <c r="H86" i="4"/>
  <c r="G86" i="4"/>
  <c r="F86" i="4"/>
  <c r="E86" i="4"/>
  <c r="D86" i="4"/>
  <c r="C86" i="4"/>
  <c r="B86" i="4"/>
  <c r="K85" i="4"/>
  <c r="J85" i="4"/>
  <c r="I85" i="4"/>
  <c r="H85" i="4"/>
  <c r="G85" i="4"/>
  <c r="F85" i="4"/>
  <c r="E85" i="4"/>
  <c r="D85" i="4"/>
  <c r="C85" i="4"/>
  <c r="L85" i="4" s="1"/>
  <c r="B85" i="4"/>
  <c r="K84" i="4"/>
  <c r="J84" i="4"/>
  <c r="I84" i="4"/>
  <c r="H84" i="4"/>
  <c r="G84" i="4"/>
  <c r="F84" i="4"/>
  <c r="E84" i="4"/>
  <c r="D84" i="4"/>
  <c r="C84" i="4"/>
  <c r="B84" i="4"/>
  <c r="K83" i="4"/>
  <c r="J83" i="4"/>
  <c r="I83" i="4"/>
  <c r="H83" i="4"/>
  <c r="G83" i="4"/>
  <c r="F83" i="4"/>
  <c r="E83" i="4"/>
  <c r="D83" i="4"/>
  <c r="C83" i="4"/>
  <c r="B83" i="4"/>
  <c r="K82" i="4"/>
  <c r="J82" i="4"/>
  <c r="I82" i="4"/>
  <c r="H82" i="4"/>
  <c r="G82" i="4"/>
  <c r="F82" i="4"/>
  <c r="E82" i="4"/>
  <c r="D82" i="4"/>
  <c r="C82" i="4"/>
  <c r="B82" i="4"/>
  <c r="K81" i="4"/>
  <c r="J81" i="4"/>
  <c r="I81" i="4"/>
  <c r="H81" i="4"/>
  <c r="G81" i="4"/>
  <c r="F81" i="4"/>
  <c r="E81" i="4"/>
  <c r="D81" i="4"/>
  <c r="C81" i="4"/>
  <c r="B81" i="4"/>
  <c r="K80" i="4"/>
  <c r="J80" i="4"/>
  <c r="I80" i="4"/>
  <c r="H80" i="4"/>
  <c r="G80" i="4"/>
  <c r="F80" i="4"/>
  <c r="E80" i="4"/>
  <c r="D80" i="4"/>
  <c r="C80" i="4"/>
  <c r="B80" i="4"/>
  <c r="K79" i="4"/>
  <c r="J79" i="4"/>
  <c r="I79" i="4"/>
  <c r="H79" i="4"/>
  <c r="G79" i="4"/>
  <c r="F79" i="4"/>
  <c r="E79" i="4"/>
  <c r="D79" i="4"/>
  <c r="C79" i="4"/>
  <c r="B79" i="4"/>
  <c r="K78" i="4"/>
  <c r="J78" i="4"/>
  <c r="I78" i="4"/>
  <c r="H78" i="4"/>
  <c r="G78" i="4"/>
  <c r="F78" i="4"/>
  <c r="E78" i="4"/>
  <c r="D78" i="4"/>
  <c r="C78" i="4"/>
  <c r="B78" i="4"/>
  <c r="K77" i="4"/>
  <c r="J77" i="4"/>
  <c r="I77" i="4"/>
  <c r="H77" i="4"/>
  <c r="G77" i="4"/>
  <c r="F77" i="4"/>
  <c r="E77" i="4"/>
  <c r="D77" i="4"/>
  <c r="C77" i="4"/>
  <c r="B77" i="4"/>
  <c r="K76" i="4"/>
  <c r="J76" i="4"/>
  <c r="I76" i="4"/>
  <c r="H76" i="4"/>
  <c r="G76" i="4"/>
  <c r="F76" i="4"/>
  <c r="E76" i="4"/>
  <c r="D76" i="4"/>
  <c r="C76" i="4"/>
  <c r="B76" i="4"/>
  <c r="K75" i="4"/>
  <c r="J75" i="4"/>
  <c r="I75" i="4"/>
  <c r="H75" i="4"/>
  <c r="G75" i="4"/>
  <c r="F75" i="4"/>
  <c r="E75" i="4"/>
  <c r="D75" i="4"/>
  <c r="C75" i="4"/>
  <c r="B75" i="4"/>
  <c r="K74" i="4"/>
  <c r="J74" i="4"/>
  <c r="I74" i="4"/>
  <c r="H74" i="4"/>
  <c r="G74" i="4"/>
  <c r="F74" i="4"/>
  <c r="E74" i="4"/>
  <c r="D74" i="4"/>
  <c r="C74" i="4"/>
  <c r="B74" i="4"/>
  <c r="K73" i="4"/>
  <c r="J73" i="4"/>
  <c r="I73" i="4"/>
  <c r="H73" i="4"/>
  <c r="G73" i="4"/>
  <c r="F73" i="4"/>
  <c r="E73" i="4"/>
  <c r="D73" i="4"/>
  <c r="C73" i="4"/>
  <c r="B73" i="4"/>
  <c r="K72" i="4"/>
  <c r="J72" i="4"/>
  <c r="I72" i="4"/>
  <c r="H72" i="4"/>
  <c r="G72" i="4"/>
  <c r="F72" i="4"/>
  <c r="E72" i="4"/>
  <c r="D72" i="4"/>
  <c r="C72" i="4"/>
  <c r="B72" i="4"/>
  <c r="K71" i="4"/>
  <c r="J71" i="4"/>
  <c r="I71" i="4"/>
  <c r="H71" i="4"/>
  <c r="G71" i="4"/>
  <c r="F71" i="4"/>
  <c r="E71" i="4"/>
  <c r="D71" i="4"/>
  <c r="C71" i="4"/>
  <c r="B71" i="4"/>
  <c r="K70" i="4"/>
  <c r="J70" i="4"/>
  <c r="I70" i="4"/>
  <c r="H70" i="4"/>
  <c r="G70" i="4"/>
  <c r="F70" i="4"/>
  <c r="E70" i="4"/>
  <c r="D70" i="4"/>
  <c r="C70" i="4"/>
  <c r="B70" i="4"/>
  <c r="K69" i="4"/>
  <c r="J69" i="4"/>
  <c r="I69" i="4"/>
  <c r="H69" i="4"/>
  <c r="G69" i="4"/>
  <c r="F69" i="4"/>
  <c r="E69" i="4"/>
  <c r="D69" i="4"/>
  <c r="C69" i="4"/>
  <c r="B69" i="4"/>
  <c r="K68" i="4"/>
  <c r="J68" i="4"/>
  <c r="I68" i="4"/>
  <c r="H68" i="4"/>
  <c r="G68" i="4"/>
  <c r="F68" i="4"/>
  <c r="E68" i="4"/>
  <c r="D68" i="4"/>
  <c r="C68" i="4"/>
  <c r="B68" i="4"/>
  <c r="K67" i="4"/>
  <c r="J67" i="4"/>
  <c r="I67" i="4"/>
  <c r="H67" i="4"/>
  <c r="G67" i="4"/>
  <c r="F67" i="4"/>
  <c r="E67" i="4"/>
  <c r="D67" i="4"/>
  <c r="C67" i="4"/>
  <c r="B67" i="4"/>
  <c r="K66" i="4"/>
  <c r="J66" i="4"/>
  <c r="I66" i="4"/>
  <c r="H66" i="4"/>
  <c r="G66" i="4"/>
  <c r="F66" i="4"/>
  <c r="E66" i="4"/>
  <c r="D66" i="4"/>
  <c r="C66" i="4"/>
  <c r="B66" i="4"/>
  <c r="K65" i="4"/>
  <c r="J65" i="4"/>
  <c r="I65" i="4"/>
  <c r="H65" i="4"/>
  <c r="G65" i="4"/>
  <c r="F65" i="4"/>
  <c r="E65" i="4"/>
  <c r="D65" i="4"/>
  <c r="C65" i="4"/>
  <c r="B65" i="4"/>
  <c r="K64" i="4"/>
  <c r="J64" i="4"/>
  <c r="I64" i="4"/>
  <c r="H64" i="4"/>
  <c r="G64" i="4"/>
  <c r="F64" i="4"/>
  <c r="E64" i="4"/>
  <c r="D64" i="4"/>
  <c r="C64" i="4"/>
  <c r="B64" i="4"/>
  <c r="K63" i="4"/>
  <c r="J63" i="4"/>
  <c r="I63" i="4"/>
  <c r="H63" i="4"/>
  <c r="G63" i="4"/>
  <c r="F63" i="4"/>
  <c r="E63" i="4"/>
  <c r="D63" i="4"/>
  <c r="C63" i="4"/>
  <c r="B63" i="4"/>
  <c r="K62" i="4"/>
  <c r="J62" i="4"/>
  <c r="I62" i="4"/>
  <c r="H62" i="4"/>
  <c r="G62" i="4"/>
  <c r="F62" i="4"/>
  <c r="E62" i="4"/>
  <c r="D62" i="4"/>
  <c r="C62" i="4"/>
  <c r="B62" i="4"/>
  <c r="K61" i="4"/>
  <c r="J61" i="4"/>
  <c r="I61" i="4"/>
  <c r="H61" i="4"/>
  <c r="G61" i="4"/>
  <c r="F61" i="4"/>
  <c r="E61" i="4"/>
  <c r="D61" i="4"/>
  <c r="C61" i="4"/>
  <c r="B61" i="4"/>
  <c r="K60" i="4"/>
  <c r="J60" i="4"/>
  <c r="I60" i="4"/>
  <c r="H60" i="4"/>
  <c r="G60" i="4"/>
  <c r="F60" i="4"/>
  <c r="E60" i="4"/>
  <c r="D60" i="4"/>
  <c r="C60" i="4"/>
  <c r="B60" i="4"/>
  <c r="K59" i="4"/>
  <c r="J59" i="4"/>
  <c r="I59" i="4"/>
  <c r="H59" i="4"/>
  <c r="G59" i="4"/>
  <c r="F59" i="4"/>
  <c r="E59" i="4"/>
  <c r="D59" i="4"/>
  <c r="C59" i="4"/>
  <c r="B59" i="4"/>
  <c r="K58" i="4"/>
  <c r="J58" i="4"/>
  <c r="I58" i="4"/>
  <c r="H58" i="4"/>
  <c r="G58" i="4"/>
  <c r="F58" i="4"/>
  <c r="E58" i="4"/>
  <c r="D58" i="4"/>
  <c r="C58" i="4"/>
  <c r="B58" i="4"/>
  <c r="K57" i="4"/>
  <c r="J57" i="4"/>
  <c r="I57" i="4"/>
  <c r="H57" i="4"/>
  <c r="G57" i="4"/>
  <c r="F57" i="4"/>
  <c r="E57" i="4"/>
  <c r="D57" i="4"/>
  <c r="C57" i="4"/>
  <c r="B57" i="4"/>
  <c r="K56" i="4"/>
  <c r="J56" i="4"/>
  <c r="I56" i="4"/>
  <c r="H56" i="4"/>
  <c r="G56" i="4"/>
  <c r="F56" i="4"/>
  <c r="E56" i="4"/>
  <c r="D56" i="4"/>
  <c r="C56" i="4"/>
  <c r="B56" i="4"/>
  <c r="K55" i="4"/>
  <c r="J55" i="4"/>
  <c r="I55" i="4"/>
  <c r="H55" i="4"/>
  <c r="G55" i="4"/>
  <c r="F55" i="4"/>
  <c r="E55" i="4"/>
  <c r="D55" i="4"/>
  <c r="C55" i="4"/>
  <c r="B55" i="4"/>
  <c r="K54" i="4"/>
  <c r="J54" i="4"/>
  <c r="I54" i="4"/>
  <c r="H54" i="4"/>
  <c r="G54" i="4"/>
  <c r="F54" i="4"/>
  <c r="E54" i="4"/>
  <c r="D54" i="4"/>
  <c r="C54" i="4"/>
  <c r="B54" i="4"/>
  <c r="K53" i="4"/>
  <c r="J53" i="4"/>
  <c r="I53" i="4"/>
  <c r="H53" i="4"/>
  <c r="G53" i="4"/>
  <c r="F53" i="4"/>
  <c r="E53" i="4"/>
  <c r="D53" i="4"/>
  <c r="C53" i="4"/>
  <c r="L53" i="4" s="1"/>
  <c r="B53" i="4"/>
  <c r="K52" i="4"/>
  <c r="J52" i="4"/>
  <c r="I52" i="4"/>
  <c r="H52" i="4"/>
  <c r="G52" i="4"/>
  <c r="F52" i="4"/>
  <c r="E52" i="4"/>
  <c r="D52" i="4"/>
  <c r="C52" i="4"/>
  <c r="B52" i="4"/>
  <c r="K51" i="4"/>
  <c r="J51" i="4"/>
  <c r="I51" i="4"/>
  <c r="H51" i="4"/>
  <c r="G51" i="4"/>
  <c r="F51" i="4"/>
  <c r="E51" i="4"/>
  <c r="D51" i="4"/>
  <c r="C51" i="4"/>
  <c r="B51" i="4"/>
  <c r="K50" i="4"/>
  <c r="J50" i="4"/>
  <c r="I50" i="4"/>
  <c r="H50" i="4"/>
  <c r="G50" i="4"/>
  <c r="F50" i="4"/>
  <c r="E50" i="4"/>
  <c r="D50" i="4"/>
  <c r="C50" i="4"/>
  <c r="B50" i="4"/>
  <c r="K49" i="4"/>
  <c r="J49" i="4"/>
  <c r="I49" i="4"/>
  <c r="H49" i="4"/>
  <c r="G49" i="4"/>
  <c r="F49" i="4"/>
  <c r="E49" i="4"/>
  <c r="D49" i="4"/>
  <c r="C49" i="4"/>
  <c r="B49" i="4"/>
  <c r="K48" i="4"/>
  <c r="J48" i="4"/>
  <c r="I48" i="4"/>
  <c r="H48" i="4"/>
  <c r="G48" i="4"/>
  <c r="F48" i="4"/>
  <c r="E48" i="4"/>
  <c r="D48" i="4"/>
  <c r="C48" i="4"/>
  <c r="B48" i="4"/>
  <c r="K47" i="4"/>
  <c r="J47" i="4"/>
  <c r="I47" i="4"/>
  <c r="H47" i="4"/>
  <c r="G47" i="4"/>
  <c r="F47" i="4"/>
  <c r="E47" i="4"/>
  <c r="D47" i="4"/>
  <c r="C47" i="4"/>
  <c r="B47" i="4"/>
  <c r="K46" i="4"/>
  <c r="J46" i="4"/>
  <c r="I46" i="4"/>
  <c r="H46" i="4"/>
  <c r="G46" i="4"/>
  <c r="F46" i="4"/>
  <c r="E46" i="4"/>
  <c r="D46" i="4"/>
  <c r="C46" i="4"/>
  <c r="B46" i="4"/>
  <c r="K45" i="4"/>
  <c r="J45" i="4"/>
  <c r="I45" i="4"/>
  <c r="H45" i="4"/>
  <c r="G45" i="4"/>
  <c r="F45" i="4"/>
  <c r="E45" i="4"/>
  <c r="D45" i="4"/>
  <c r="C45" i="4"/>
  <c r="B45" i="4"/>
  <c r="K44" i="4"/>
  <c r="J44" i="4"/>
  <c r="I44" i="4"/>
  <c r="H44" i="4"/>
  <c r="G44" i="4"/>
  <c r="F44" i="4"/>
  <c r="E44" i="4"/>
  <c r="D44" i="4"/>
  <c r="C44" i="4"/>
  <c r="B44" i="4"/>
  <c r="K43" i="4"/>
  <c r="J43" i="4"/>
  <c r="I43" i="4"/>
  <c r="H43" i="4"/>
  <c r="G43" i="4"/>
  <c r="F43" i="4"/>
  <c r="E43" i="4"/>
  <c r="D43" i="4"/>
  <c r="C43" i="4"/>
  <c r="B43" i="4"/>
  <c r="K42" i="4"/>
  <c r="J42" i="4"/>
  <c r="I42" i="4"/>
  <c r="H42" i="4"/>
  <c r="G42" i="4"/>
  <c r="F42" i="4"/>
  <c r="E42" i="4"/>
  <c r="D42" i="4"/>
  <c r="C42" i="4"/>
  <c r="B42" i="4"/>
  <c r="K41" i="4"/>
  <c r="J41" i="4"/>
  <c r="I41" i="4"/>
  <c r="H41" i="4"/>
  <c r="G41" i="4"/>
  <c r="F41" i="4"/>
  <c r="E41" i="4"/>
  <c r="D41" i="4"/>
  <c r="C41" i="4"/>
  <c r="B41" i="4"/>
  <c r="K40" i="4"/>
  <c r="J40" i="4"/>
  <c r="I40" i="4"/>
  <c r="H40" i="4"/>
  <c r="G40" i="4"/>
  <c r="F40" i="4"/>
  <c r="E40" i="4"/>
  <c r="D40" i="4"/>
  <c r="C40" i="4"/>
  <c r="B40" i="4"/>
  <c r="K39" i="4"/>
  <c r="J39" i="4"/>
  <c r="I39" i="4"/>
  <c r="H39" i="4"/>
  <c r="G39" i="4"/>
  <c r="F39" i="4"/>
  <c r="E39" i="4"/>
  <c r="D39" i="4"/>
  <c r="C39" i="4"/>
  <c r="B39" i="4"/>
  <c r="K38" i="4"/>
  <c r="J38" i="4"/>
  <c r="I38" i="4"/>
  <c r="H38" i="4"/>
  <c r="G38" i="4"/>
  <c r="F38" i="4"/>
  <c r="E38" i="4"/>
  <c r="D38" i="4"/>
  <c r="C38" i="4"/>
  <c r="B38" i="4"/>
  <c r="K37" i="4"/>
  <c r="J37" i="4"/>
  <c r="I37" i="4"/>
  <c r="H37" i="4"/>
  <c r="G37" i="4"/>
  <c r="F37" i="4"/>
  <c r="E37" i="4"/>
  <c r="D37" i="4"/>
  <c r="C37" i="4"/>
  <c r="B37" i="4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K26" i="4"/>
  <c r="J26" i="4"/>
  <c r="I26" i="4"/>
  <c r="H26" i="4"/>
  <c r="G26" i="4"/>
  <c r="F26" i="4"/>
  <c r="E26" i="4"/>
  <c r="D26" i="4"/>
  <c r="C26" i="4"/>
  <c r="B26" i="4"/>
  <c r="K25" i="4"/>
  <c r="J25" i="4"/>
  <c r="I25" i="4"/>
  <c r="H25" i="4"/>
  <c r="G25" i="4"/>
  <c r="F25" i="4"/>
  <c r="E25" i="4"/>
  <c r="D25" i="4"/>
  <c r="C25" i="4"/>
  <c r="B25" i="4"/>
  <c r="B24" i="4"/>
  <c r="O24" i="4" s="1"/>
  <c r="L26" i="4" l="1"/>
  <c r="O26" i="4"/>
  <c r="O28" i="4"/>
  <c r="O30" i="4"/>
  <c r="O32" i="4"/>
  <c r="L34" i="4"/>
  <c r="O34" i="4"/>
  <c r="O36" i="4"/>
  <c r="O38" i="4"/>
  <c r="O40" i="4"/>
  <c r="L42" i="4"/>
  <c r="O42" i="4"/>
  <c r="O44" i="4"/>
  <c r="O46" i="4"/>
  <c r="O48" i="4"/>
  <c r="O50" i="4"/>
  <c r="O52" i="4"/>
  <c r="O54" i="4"/>
  <c r="O56" i="4"/>
  <c r="L58" i="4"/>
  <c r="O58" i="4"/>
  <c r="O60" i="4"/>
  <c r="O62" i="4"/>
  <c r="O64" i="4"/>
  <c r="O66" i="4"/>
  <c r="O68" i="4"/>
  <c r="O70" i="4"/>
  <c r="O72" i="4"/>
  <c r="L74" i="4"/>
  <c r="O74" i="4"/>
  <c r="O76" i="4"/>
  <c r="O78" i="4"/>
  <c r="O80" i="4"/>
  <c r="O82" i="4"/>
  <c r="O84" i="4"/>
  <c r="O86" i="4"/>
  <c r="O88" i="4"/>
  <c r="O21" i="4"/>
  <c r="L66" i="4"/>
  <c r="L82" i="4"/>
  <c r="O25" i="4"/>
  <c r="O27" i="4"/>
  <c r="O29" i="4"/>
  <c r="O31" i="4"/>
  <c r="O33" i="4"/>
  <c r="O35" i="4"/>
  <c r="O37" i="4"/>
  <c r="O39" i="4"/>
  <c r="O41" i="4"/>
  <c r="O43" i="4"/>
  <c r="O45" i="4"/>
  <c r="O47" i="4"/>
  <c r="O49" i="4"/>
  <c r="O51" i="4"/>
  <c r="O53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M81" i="4" s="1"/>
  <c r="O83" i="4"/>
  <c r="O85" i="4"/>
  <c r="O87" i="4"/>
  <c r="N87" i="4" s="1"/>
  <c r="O3" i="4"/>
  <c r="L63" i="4"/>
  <c r="N63" i="4" s="1"/>
  <c r="L52" i="4"/>
  <c r="M52" i="4" s="1"/>
  <c r="L83" i="4"/>
  <c r="L47" i="4"/>
  <c r="M47" i="4" s="1"/>
  <c r="L50" i="4"/>
  <c r="M50" i="4" s="1"/>
  <c r="L87" i="4"/>
  <c r="L62" i="4"/>
  <c r="M62" i="4" s="1"/>
  <c r="L70" i="4"/>
  <c r="L54" i="4"/>
  <c r="M54" i="4" s="1"/>
  <c r="L30" i="4"/>
  <c r="M30" i="4" s="1"/>
  <c r="L4" i="4"/>
  <c r="M4" i="4" s="1"/>
  <c r="L28" i="4"/>
  <c r="M28" i="4" s="1"/>
  <c r="L44" i="4"/>
  <c r="L60" i="4"/>
  <c r="M60" i="4" s="1"/>
  <c r="L68" i="4"/>
  <c r="M68" i="4" s="1"/>
  <c r="L38" i="4"/>
  <c r="M38" i="4" s="1"/>
  <c r="L43" i="4"/>
  <c r="L51" i="4"/>
  <c r="L86" i="4"/>
  <c r="L35" i="4"/>
  <c r="M35" i="4" s="1"/>
  <c r="L18" i="4"/>
  <c r="M18" i="4" s="1"/>
  <c r="L2" i="4"/>
  <c r="L29" i="4"/>
  <c r="N29" i="4" s="1"/>
  <c r="L37" i="4"/>
  <c r="M37" i="4" s="1"/>
  <c r="L77" i="4"/>
  <c r="L69" i="4"/>
  <c r="L39" i="4"/>
  <c r="N39" i="4" s="1"/>
  <c r="L41" i="4"/>
  <c r="M41" i="4" s="1"/>
  <c r="L49" i="4"/>
  <c r="M49" i="4" s="1"/>
  <c r="L73" i="4"/>
  <c r="M73" i="4" s="1"/>
  <c r="L81" i="4"/>
  <c r="L67" i="4"/>
  <c r="L32" i="4"/>
  <c r="N32" i="4" s="1"/>
  <c r="L61" i="4"/>
  <c r="N61" i="4" s="1"/>
  <c r="L72" i="4"/>
  <c r="N72" i="4" s="1"/>
  <c r="L80" i="4"/>
  <c r="L88" i="4"/>
  <c r="N88" i="4" s="1"/>
  <c r="L36" i="4"/>
  <c r="M36" i="4" s="1"/>
  <c r="L25" i="4"/>
  <c r="L33" i="4"/>
  <c r="L71" i="4"/>
  <c r="N71" i="4" s="1"/>
  <c r="L46" i="4"/>
  <c r="N46" i="4" s="1"/>
  <c r="L57" i="4"/>
  <c r="M57" i="4" s="1"/>
  <c r="L76" i="4"/>
  <c r="M76" i="4" s="1"/>
  <c r="L84" i="4"/>
  <c r="M84" i="4" s="1"/>
  <c r="M85" i="4"/>
  <c r="L27" i="4"/>
  <c r="L65" i="4"/>
  <c r="L55" i="4"/>
  <c r="L40" i="4"/>
  <c r="L59" i="4"/>
  <c r="M59" i="4" s="1"/>
  <c r="L78" i="4"/>
  <c r="L48" i="4"/>
  <c r="N48" i="4" s="1"/>
  <c r="L5" i="4"/>
  <c r="N5" i="4" s="1"/>
  <c r="L45" i="4"/>
  <c r="M45" i="4" s="1"/>
  <c r="L56" i="4"/>
  <c r="L64" i="4"/>
  <c r="L75" i="4"/>
  <c r="M83" i="4"/>
  <c r="L19" i="4"/>
  <c r="L3" i="4"/>
  <c r="L24" i="4"/>
  <c r="L79" i="4"/>
  <c r="L31" i="4"/>
  <c r="L20" i="4"/>
  <c r="M20" i="4" s="1"/>
  <c r="L8" i="4"/>
  <c r="L21" i="4"/>
  <c r="M21" i="4" s="1"/>
  <c r="L23" i="4"/>
  <c r="L22" i="4"/>
  <c r="L7" i="4"/>
  <c r="L6" i="4"/>
  <c r="L10" i="4"/>
  <c r="M10" i="4" s="1"/>
  <c r="L9" i="4"/>
  <c r="L11" i="4"/>
  <c r="L17" i="4"/>
  <c r="M17" i="4" s="1"/>
  <c r="L16" i="4"/>
  <c r="L15" i="4"/>
  <c r="L14" i="4"/>
  <c r="L13" i="4"/>
  <c r="L12" i="4"/>
  <c r="M82" i="4"/>
  <c r="M86" i="4"/>
  <c r="N51" i="4"/>
  <c r="M58" i="4"/>
  <c r="M65" i="4"/>
  <c r="M27" i="4"/>
  <c r="M34" i="4"/>
  <c r="M67" i="4"/>
  <c r="M74" i="4"/>
  <c r="M43" i="4"/>
  <c r="M26" i="4"/>
  <c r="M53" i="4"/>
  <c r="M66" i="4"/>
  <c r="M12" i="4"/>
  <c r="M42" i="4"/>
  <c r="W9" i="90" l="1"/>
  <c r="W10" i="90" s="1"/>
  <c r="P11" i="90"/>
  <c r="P10" i="90"/>
  <c r="Q5" i="90"/>
  <c r="R5" i="90" s="1"/>
  <c r="Q4" i="90"/>
  <c r="R4" i="90" s="1"/>
  <c r="T4" i="90" s="1"/>
  <c r="Q10" i="90"/>
  <c r="Q11" i="90"/>
  <c r="W3" i="90"/>
  <c r="W4" i="90" s="1"/>
  <c r="M75" i="4"/>
  <c r="M78" i="4"/>
  <c r="N69" i="4"/>
  <c r="M44" i="4"/>
  <c r="M8" i="4"/>
  <c r="N47" i="4"/>
  <c r="N56" i="4"/>
  <c r="M24" i="4"/>
  <c r="M79" i="4"/>
  <c r="M22" i="4"/>
  <c r="M33" i="4"/>
  <c r="M19" i="4"/>
  <c r="N70" i="4"/>
  <c r="N38" i="4"/>
  <c r="M46" i="4"/>
  <c r="N15" i="4"/>
  <c r="M71" i="4"/>
  <c r="M3" i="4"/>
  <c r="N8" i="4"/>
  <c r="M77" i="4"/>
  <c r="N7" i="4"/>
  <c r="M64" i="4"/>
  <c r="N80" i="4"/>
  <c r="N85" i="4"/>
  <c r="N23" i="4"/>
  <c r="M40" i="4"/>
  <c r="M13" i="4"/>
  <c r="N14" i="4"/>
  <c r="M39" i="4"/>
  <c r="M25" i="4"/>
  <c r="N55" i="4"/>
  <c r="M87" i="4"/>
  <c r="N16" i="4"/>
  <c r="M55" i="4"/>
  <c r="N64" i="4"/>
  <c r="N43" i="4"/>
  <c r="N30" i="4"/>
  <c r="N79" i="4"/>
  <c r="M72" i="4"/>
  <c r="N40" i="4"/>
  <c r="N31" i="4"/>
  <c r="M31" i="4"/>
  <c r="M70" i="4"/>
  <c r="M51" i="4"/>
  <c r="M80" i="4"/>
  <c r="M32" i="4"/>
  <c r="N68" i="4"/>
  <c r="M56" i="4"/>
  <c r="M69" i="4"/>
  <c r="M11" i="4"/>
  <c r="M29" i="4"/>
  <c r="M61" i="4"/>
  <c r="M88" i="4"/>
  <c r="M9" i="4"/>
  <c r="M48" i="4"/>
  <c r="M63" i="4"/>
  <c r="M6" i="4"/>
  <c r="M7" i="4"/>
  <c r="M5" i="4"/>
  <c r="M23" i="4"/>
  <c r="N22" i="4"/>
  <c r="M14" i="4"/>
  <c r="M15" i="4"/>
  <c r="M16" i="4"/>
  <c r="N24" i="4"/>
  <c r="N12" i="4"/>
  <c r="N59" i="4"/>
  <c r="M2" i="4"/>
  <c r="N2" i="4"/>
  <c r="N57" i="4"/>
  <c r="N74" i="4"/>
  <c r="N83" i="4"/>
  <c r="N66" i="4"/>
  <c r="N75" i="4"/>
  <c r="N49" i="4"/>
  <c r="N42" i="4"/>
  <c r="N54" i="4"/>
  <c r="N45" i="4"/>
  <c r="N41" i="4"/>
  <c r="N65" i="4"/>
  <c r="N6" i="4"/>
  <c r="N44" i="4"/>
  <c r="N13" i="4"/>
  <c r="N33" i="4"/>
  <c r="N21" i="4"/>
  <c r="N27" i="4"/>
  <c r="N34" i="4"/>
  <c r="N58" i="4"/>
  <c r="N20" i="4"/>
  <c r="N17" i="4"/>
  <c r="N52" i="4"/>
  <c r="N86" i="4"/>
  <c r="N35" i="4"/>
  <c r="N10" i="4"/>
  <c r="N25" i="4"/>
  <c r="N37" i="4"/>
  <c r="N36" i="4"/>
  <c r="N77" i="4"/>
  <c r="N60" i="4"/>
  <c r="N19" i="4"/>
  <c r="N28" i="4"/>
  <c r="N18" i="4"/>
  <c r="N26" i="4"/>
  <c r="N3" i="4"/>
  <c r="N84" i="4"/>
  <c r="N76" i="4"/>
  <c r="N9" i="4"/>
  <c r="N62" i="4"/>
  <c r="N4" i="4"/>
  <c r="N11" i="4"/>
  <c r="N78" i="4"/>
  <c r="N81" i="4"/>
  <c r="N67" i="4"/>
  <c r="N50" i="4"/>
  <c r="N82" i="4"/>
  <c r="N53" i="4"/>
  <c r="N73" i="4"/>
  <c r="R11" i="90" l="1"/>
  <c r="R10" i="90"/>
  <c r="T10" i="90" s="1"/>
</calcChain>
</file>

<file path=xl/sharedStrings.xml><?xml version="1.0" encoding="utf-8"?>
<sst xmlns="http://schemas.openxmlformats.org/spreadsheetml/2006/main" count="2723" uniqueCount="174">
  <si>
    <t>Tempo (s)</t>
  </si>
  <si>
    <t>Trecho 1</t>
  </si>
  <si>
    <t>Trecho 2</t>
  </si>
  <si>
    <t>Trecho 3</t>
  </si>
  <si>
    <t>Trecho 4</t>
  </si>
  <si>
    <t>Trecho 5</t>
  </si>
  <si>
    <t>Trecho 6</t>
  </si>
  <si>
    <t>Trecho 7</t>
  </si>
  <si>
    <t>Trecho 8</t>
  </si>
  <si>
    <t>Trecho 9</t>
  </si>
  <si>
    <t>Trecho 10</t>
  </si>
  <si>
    <t>MÉDIA</t>
  </si>
  <si>
    <t>Min. (A)</t>
  </si>
  <si>
    <t>Max. (A)</t>
  </si>
  <si>
    <t>Intervalo de confiança
(t-Student, 95 %)</t>
  </si>
  <si>
    <t>STATISTICS</t>
  </si>
  <si>
    <t>FOR</t>
  </si>
  <si>
    <t>FILE:</t>
  </si>
  <si>
    <t>mA</t>
  </si>
  <si>
    <t>NPLC</t>
  </si>
  <si>
    <t>ini</t>
  </si>
  <si>
    <t>trecho</t>
  </si>
  <si>
    <t>01.txt</t>
  </si>
  <si>
    <t>Data</t>
  </si>
  <si>
    <t>Points</t>
  </si>
  <si>
    <t>thru</t>
  </si>
  <si>
    <t>of</t>
  </si>
  <si>
    <t>Maximum</t>
  </si>
  <si>
    <t>=</t>
  </si>
  <si>
    <t>Minimum</t>
  </si>
  <si>
    <t>Average</t>
  </si>
  <si>
    <t>Sigma</t>
  </si>
  <si>
    <t>Type:</t>
  </si>
  <si>
    <t>Overlapping</t>
  </si>
  <si>
    <t>Allan</t>
  </si>
  <si>
    <t>Confidence</t>
  </si>
  <si>
    <t>Factor</t>
  </si>
  <si>
    <t>Deadtime</t>
  </si>
  <si>
    <t>T/Tau</t>
  </si>
  <si>
    <t>AF</t>
  </si>
  <si>
    <t>Tau</t>
  </si>
  <si>
    <t>#</t>
  </si>
  <si>
    <t>Alpha</t>
  </si>
  <si>
    <t>Min</t>
  </si>
  <si>
    <t>Max</t>
  </si>
  <si>
    <t>02.txt</t>
  </si>
  <si>
    <t>03.txt</t>
  </si>
  <si>
    <t>04.txt</t>
  </si>
  <si>
    <t>05.txt</t>
  </si>
  <si>
    <t>uA</t>
  </si>
  <si>
    <t>Frequency</t>
  </si>
  <si>
    <r>
      <rPr>
        <i/>
        <sz val="11"/>
        <color theme="1"/>
        <rFont val="Calibri"/>
        <family val="2"/>
        <scheme val="minor"/>
      </rPr>
      <t>I</t>
    </r>
    <r>
      <rPr>
        <i/>
        <vertAlign val="subscript"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(ruído de quant., em A) --&gt;</t>
    </r>
  </si>
  <si>
    <t>Resol.
(em A) --&gt;</t>
  </si>
  <si>
    <t>k</t>
  </si>
  <si>
    <r>
      <rPr>
        <b/>
        <i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(min)</t>
    </r>
  </si>
  <si>
    <r>
      <rPr>
        <b/>
        <i/>
        <sz val="11"/>
        <color theme="1"/>
        <rFont val="Calibri"/>
        <family val="2"/>
        <scheme val="minor"/>
      </rPr>
      <t xml:space="preserve">y </t>
    </r>
    <r>
      <rPr>
        <b/>
        <sz val="11"/>
        <color theme="1"/>
        <rFont val="Calibri"/>
        <family val="2"/>
        <scheme val="minor"/>
      </rPr>
      <t>(inic. e fim)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</si>
  <si>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20 s)</t>
    </r>
  </si>
  <si>
    <t>(em A)</t>
  </si>
  <si>
    <t>Delta (A)</t>
  </si>
  <si>
    <r>
      <rPr>
        <b/>
        <i/>
        <sz val="11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_stab. (A)</t>
    </r>
  </si>
  <si>
    <r>
      <rPr>
        <b/>
        <i/>
        <sz val="11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_stab. (A)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</si>
  <si>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99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</si>
  <si>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 mA, tau = 20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</si>
  <si>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 mA, tau = 99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</si>
  <si>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30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20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</si>
  <si>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30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99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</si>
  <si>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30 mA, tau = 20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</si>
  <si>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30 mA, tau = 99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</si>
  <si>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10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20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</si>
  <si>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10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99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</si>
  <si>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10 mA, tau = 20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</si>
  <si>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10 mA, tau = 99 s)</t>
    </r>
  </si>
  <si>
    <r>
      <rPr>
        <b/>
        <i/>
        <sz val="11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_stab. 20 s (A)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</si>
  <si>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1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20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</si>
  <si>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1 mA,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99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</si>
  <si>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1 mA, tau = 20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</si>
  <si>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1 mA, tau = 99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</si>
  <si>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300 uA,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20 s)</t>
    </r>
  </si>
  <si>
    <r>
      <t>Desvio de Allan (</t>
    </r>
    <r>
      <rPr>
        <b/>
        <i/>
        <sz val="11"/>
        <color theme="1"/>
        <rFont val="Calibri"/>
        <family val="2"/>
        <scheme val="minor"/>
      </rPr>
      <t>I_</t>
    </r>
    <r>
      <rPr>
        <b/>
        <sz val="11"/>
        <color theme="1"/>
        <rFont val="Calibri"/>
        <family val="2"/>
        <scheme val="minor"/>
      </rPr>
      <t xml:space="preserve">1 = 300 uA, </t>
    </r>
    <r>
      <rPr>
        <b/>
        <i/>
        <sz val="11"/>
        <color theme="1"/>
        <rFont val="Calibri"/>
        <family val="2"/>
        <scheme val="minor"/>
      </rPr>
      <t>tau</t>
    </r>
    <r>
      <rPr>
        <b/>
        <sz val="11"/>
        <color theme="1"/>
        <rFont val="Calibri"/>
        <family val="2"/>
        <scheme val="minor"/>
      </rPr>
      <t xml:space="preserve"> = 99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</si>
  <si>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300 uA, tau = 20 s)</t>
    </r>
  </si>
  <si>
    <r>
      <t>(</t>
    </r>
    <r>
      <rPr>
        <i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_1 = 300 uA, tau = 99 s)</t>
    </r>
  </si>
  <si>
    <r>
      <rPr>
        <b/>
        <i/>
        <sz val="11"/>
        <color theme="1"/>
        <rFont val="Calibri"/>
        <family val="2"/>
        <scheme val="minor"/>
      </rPr>
      <t>U</t>
    </r>
    <r>
      <rPr>
        <b/>
        <sz val="11"/>
        <color theme="1"/>
        <rFont val="Calibri"/>
        <family val="2"/>
        <scheme val="minor"/>
      </rPr>
      <t>_stab. 100 s (A)</t>
    </r>
  </si>
  <si>
    <r>
      <rPr>
        <b/>
        <i/>
        <sz val="11"/>
        <color theme="1"/>
        <rFont val="Calibri"/>
        <family val="2"/>
        <scheme val="minor"/>
      </rPr>
      <t xml:space="preserve">y </t>
    </r>
    <r>
      <rPr>
        <b/>
        <sz val="11"/>
        <color theme="1"/>
        <rFont val="Calibri"/>
        <family val="2"/>
        <scheme val="minor"/>
      </rPr>
      <t>(inic. e +60 min)</t>
    </r>
  </si>
  <si>
    <t>Parâmetros da regressão linear</t>
  </si>
  <si>
    <t>D.P.</t>
  </si>
  <si>
    <t>N° de pts</t>
  </si>
  <si>
    <t>U</t>
  </si>
  <si>
    <t>S_xx</t>
  </si>
  <si>
    <t>t_médio</t>
  </si>
  <si>
    <t>min</t>
  </si>
  <si>
    <r>
      <t>k_</t>
    </r>
    <r>
      <rPr>
        <sz val="11"/>
        <color theme="1"/>
        <rFont val="Calibri"/>
        <family val="2"/>
        <scheme val="minor"/>
      </rPr>
      <t>95 %</t>
    </r>
  </si>
  <si>
    <t>Usar incerteza da regressão?</t>
  </si>
  <si>
    <t>S</t>
  </si>
  <si>
    <t>N</t>
  </si>
  <si>
    <t>Regressão linear</t>
  </si>
  <si>
    <t>Max-Min</t>
  </si>
  <si>
    <t>Método --&gt;</t>
  </si>
  <si>
    <t>Divisor</t>
  </si>
  <si>
    <r>
      <t xml:space="preserve">[3 = retangular; 6 = triangular; 12 = </t>
    </r>
    <r>
      <rPr>
        <u/>
        <sz val="10"/>
        <color theme="1"/>
        <rFont val="Calibri"/>
        <family val="2"/>
        <scheme val="minor"/>
      </rPr>
      <t>retangular assimétrica (GUM 4.3.8)</t>
    </r>
    <r>
      <rPr>
        <sz val="10"/>
        <color theme="1"/>
        <rFont val="Calibri"/>
        <family val="2"/>
        <scheme val="minor"/>
      </rPr>
      <t>]</t>
    </r>
  </si>
  <si>
    <t>R</t>
  </si>
  <si>
    <t>Estatística</t>
  </si>
  <si>
    <t>n</t>
  </si>
  <si>
    <t>Critério</t>
  </si>
  <si>
    <t>Decisão</t>
  </si>
  <si>
    <t>Chauvenet (outliers) - 20 s</t>
  </si>
  <si>
    <t>t (min)</t>
  </si>
  <si>
    <t>Chauvenet (outliers) - 100 s</t>
  </si>
  <si>
    <t>(em nA)</t>
  </si>
  <si>
    <t>Chi-quadrado</t>
  </si>
  <si>
    <t>Alfa</t>
  </si>
  <si>
    <t>p-valor</t>
  </si>
  <si>
    <t>alternative hypothesis: highest value 1.7 is an outlier</t>
  </si>
  <si>
    <t>alternative hypothesis: lowest value 0.32 is an outlier</t>
  </si>
  <si>
    <t>alternative hypothesis: highest value 2.53 is an outlier</t>
  </si>
  <si>
    <t>alternative hypothesis: lowest value 0.7 is an outlier</t>
  </si>
  <si>
    <t>alternative hypothesis: highest value 1.75 is an outlier</t>
  </si>
  <si>
    <t>alternative hypothesis: lowest value 0.49 is an outlier</t>
  </si>
  <si>
    <t>Dixon</t>
  </si>
  <si>
    <t>alternative hypothesis: highest value 2.79 is an outlier</t>
  </si>
  <si>
    <t>Q = 0.033557, p-value = 0.8667</t>
  </si>
  <si>
    <t>alternative hypothesis: lowest value 1.3 is an outlier</t>
  </si>
  <si>
    <r>
      <t>Q = 0.42282,</t>
    </r>
    <r>
      <rPr>
        <sz val="11"/>
        <color rgb="FFFF0000"/>
        <rFont val="Calibri"/>
        <family val="2"/>
        <scheme val="minor"/>
      </rPr>
      <t xml:space="preserve"> p-value = 0.04379</t>
    </r>
  </si>
  <si>
    <r>
      <t xml:space="preserve">Q = 0.48413, </t>
    </r>
    <r>
      <rPr>
        <sz val="11"/>
        <color rgb="FFFF0000"/>
        <rFont val="Calibri"/>
        <family val="2"/>
        <scheme val="minor"/>
      </rPr>
      <t>p-value = 0.0197</t>
    </r>
  </si>
  <si>
    <t>Q = 0.11111, p-value = 0.5964</t>
  </si>
  <si>
    <r>
      <t xml:space="preserve">Q = 0.55191, </t>
    </r>
    <r>
      <rPr>
        <sz val="11"/>
        <color rgb="FFFF0000"/>
        <rFont val="Calibri"/>
        <family val="2"/>
        <scheme val="minor"/>
      </rPr>
      <t>p-value = 0.006426</t>
    </r>
  </si>
  <si>
    <t>Q = 0.04918, p-value = 0.8068</t>
  </si>
  <si>
    <r>
      <t>Q = 0.52174,</t>
    </r>
    <r>
      <rPr>
        <sz val="11"/>
        <color rgb="FFFF0000"/>
        <rFont val="Calibri"/>
        <family val="2"/>
        <scheme val="minor"/>
      </rPr>
      <t xml:space="preserve"> p-value = 0.01096</t>
    </r>
  </si>
  <si>
    <t>Q = 0.021739, p-value = 0.9126</t>
  </si>
  <si>
    <t>Q = 0.088889, p-value = 0.6699</t>
  </si>
  <si>
    <t>alternative hypothesis: highest value 23.48 is an outlier</t>
  </si>
  <si>
    <t>Q = 0.086022, p-value = 0.6796</t>
  </si>
  <si>
    <t>alternative hypothesis: lowest value 9.53 is an outlier</t>
  </si>
  <si>
    <t>alternative hypothesis: lowest value 6.41 is an outlier</t>
  </si>
  <si>
    <r>
      <t xml:space="preserve">Q = 0.42108, </t>
    </r>
    <r>
      <rPr>
        <sz val="11"/>
        <color rgb="FFFF0000"/>
        <rFont val="Calibri"/>
        <family val="2"/>
        <scheme val="minor"/>
      </rPr>
      <t>p-value = 0.04474</t>
    </r>
  </si>
  <si>
    <t>Q = 0.16992, p-value = 0.4214</t>
  </si>
  <si>
    <t>alternative hypothesis: highest value 27.95 is an outlier</t>
  </si>
  <si>
    <t>Q = 0.17949, p-value = 0.3961</t>
  </si>
  <si>
    <t>alternative hypothesis: highest value 3.02 is an outlier</t>
  </si>
  <si>
    <t>Q = 0.16239, p-value = 0.4418</t>
  </si>
  <si>
    <t>alternative hypothesis: lowest value 1.85 is an outlier</t>
  </si>
  <si>
    <t>Q = 0.25439, p-value = 0.231</t>
  </si>
  <si>
    <t>alternative hypothesis: lowest value 1.19 is an outlier</t>
  </si>
  <si>
    <t>Q = 0.23684, p-value = 0.2634</t>
  </si>
  <si>
    <t>alternative hypothesis: highest value 2.33 is an outlier</t>
  </si>
  <si>
    <t>Q = 0.11345, p-value = 0.5888</t>
  </si>
  <si>
    <t>alternative hypothesis: highest value 73.13 is an outlier</t>
  </si>
  <si>
    <t>Q = 0.18159, p-value = 0.3906</t>
  </si>
  <si>
    <t>alternative hypothesis: lowest value 45.1 is an outlier</t>
  </si>
  <si>
    <t>Q = 0.17917, p-value = 0.3969</t>
  </si>
  <si>
    <t>alternative hypothesis: lowest value 25.51 is an outlier</t>
  </si>
  <si>
    <t>Q = 0.038795, p-value = 0.8465</t>
  </si>
  <si>
    <t>alternative hypothesis: highest value 45.1 is an outlier</t>
  </si>
  <si>
    <t>Suposição de normalidade (Shapiro-Wilk)</t>
  </si>
  <si>
    <t>W = 0.86828, p-value = 0.09544</t>
  </si>
  <si>
    <t>W = 0.92259, p-value = 0.3791</t>
  </si>
  <si>
    <t>W = 0.95914, p-value = 0.7761</t>
  </si>
  <si>
    <t>W = 0.98562, p-value = 0.9881</t>
  </si>
  <si>
    <r>
      <t xml:space="preserve">W = 0.82898, </t>
    </r>
    <r>
      <rPr>
        <sz val="11"/>
        <color rgb="FFFF0000"/>
        <rFont val="Calibri"/>
        <family val="2"/>
        <scheme val="minor"/>
      </rPr>
      <t>p-value = 0.03253</t>
    </r>
  </si>
  <si>
    <t>W = 0.92933, p-value = 0.4413</t>
  </si>
  <si>
    <t>W = 0.8841, p-value = 0.1454</t>
  </si>
  <si>
    <t>W = 0.85677, p-value = 0.06988</t>
  </si>
  <si>
    <r>
      <t xml:space="preserve">W = 0.79145, </t>
    </r>
    <r>
      <rPr>
        <sz val="11"/>
        <color rgb="FFFF0000"/>
        <rFont val="Calibri"/>
        <family val="2"/>
        <scheme val="minor"/>
      </rPr>
      <t>p-value = 0.01141</t>
    </r>
  </si>
  <si>
    <r>
      <t xml:space="preserve">W = 0.68657, </t>
    </r>
    <r>
      <rPr>
        <sz val="11"/>
        <color rgb="FFFF0000"/>
        <rFont val="Calibri"/>
        <family val="2"/>
        <scheme val="minor"/>
      </rPr>
      <t>p-value = 0.0006059</t>
    </r>
  </si>
  <si>
    <t>[1] 0.98 1.70</t>
  </si>
  <si>
    <t>z-score modificado (MAD)</t>
  </si>
  <si>
    <t>[1] 2.53</t>
  </si>
  <si>
    <t>outlier</t>
  </si>
  <si>
    <t>[1] 23.48</t>
  </si>
  <si>
    <t>numeric(0)</t>
  </si>
  <si>
    <t>pnorm(4)</t>
  </si>
  <si>
    <t>pnorm(3,5)</t>
  </si>
  <si>
    <t>pnorm(3)</t>
  </si>
  <si>
    <t>para</t>
  </si>
  <si>
    <t>[1] 22.24 23.48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</si>
</sst>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E+00"/>
    <numFmt numFmtId="165" formatCode="0.0000"/>
    <numFmt numFmtId="166" formatCode="0.000%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Rounded MT Bold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lightDown"/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1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11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11" fontId="1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8" fillId="0" borderId="0" xfId="0" applyFont="1"/>
    <xf numFmtId="0" fontId="0" fillId="0" borderId="0" xfId="0" applyFont="1"/>
    <xf numFmtId="0" fontId="1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3" borderId="0" xfId="0" applyFill="1"/>
    <xf numFmtId="166" fontId="10" fillId="0" borderId="0" xfId="1" applyNumberFormat="1" applyFont="1"/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left"/>
    </xf>
    <xf numFmtId="0" fontId="0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 mA'!$B$3</c:f>
              <c:strCache>
                <c:ptCount val="1"/>
                <c:pt idx="0">
                  <c:v>Desvio de Allan (I_1 = 30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5.2809172022552003E-2"/>
                  <c:y val="1.2591148878667394E-2"/>
                </c:manualLayout>
              </c:layout>
              <c:tx>
                <c:rich>
                  <a:bodyPr/>
                  <a:lstStyle/>
                  <a:p>
                    <a:pPr>
                      <a:defRPr sz="1200" b="0">
                        <a:latin typeface="Arial Rounded MT Bold" panose="020F0704030504030204" pitchFamily="34" charset="0"/>
                      </a:defRPr>
                    </a:pPr>
                    <a:r>
                      <a:rPr lang="en-US" sz="1200" b="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="0" baseline="0">
                        <a:latin typeface="Arial Rounded MT Bold" panose="020F0704030504030204" pitchFamily="34" charset="0"/>
                      </a:rPr>
                      <a:t> = 0,24</a:t>
                    </a:r>
                    <a:r>
                      <a:rPr lang="en-US" sz="1200" b="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="0" baseline="0">
                        <a:latin typeface="Arial Rounded MT Bold" panose="020F0704030504030204" pitchFamily="34" charset="0"/>
                      </a:rPr>
                      <a:t> + 48,98</a:t>
                    </a:r>
                    <a:endParaRPr lang="en-US" sz="1200" b="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" sourceLinked="0"/>
              <c:spPr>
                <a:solidFill>
                  <a:sysClr val="window" lastClr="FFFFFF"/>
                </a:solidFill>
              </c:spPr>
            </c:trendlineLbl>
          </c:trendline>
          <c:xVal>
            <c:numRef>
              <c:f>'Estabilidade 30 mA'!$C$2:$L$2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30 mA'!$C$3:$L$3</c:f>
              <c:numCache>
                <c:formatCode>0.00</c:formatCode>
                <c:ptCount val="10"/>
                <c:pt idx="0">
                  <c:v>56.146999999999998</c:v>
                </c:pt>
                <c:pt idx="1">
                  <c:v>50.190000000000005</c:v>
                </c:pt>
                <c:pt idx="2">
                  <c:v>51.091999999999999</c:v>
                </c:pt>
                <c:pt idx="3">
                  <c:v>58.079000000000001</c:v>
                </c:pt>
                <c:pt idx="4">
                  <c:v>45.097999999999999</c:v>
                </c:pt>
                <c:pt idx="5">
                  <c:v>56.362000000000002</c:v>
                </c:pt>
                <c:pt idx="6">
                  <c:v>52.502000000000002</c:v>
                </c:pt>
                <c:pt idx="7">
                  <c:v>73.134</c:v>
                </c:pt>
                <c:pt idx="8">
                  <c:v>69.951000000000008</c:v>
                </c:pt>
                <c:pt idx="9">
                  <c:v>59.164000000000001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036480"/>
        <c:axId val="216038784"/>
      </c:scatterChart>
      <c:valAx>
        <c:axId val="216036480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216038784"/>
        <c:crosses val="autoZero"/>
        <c:crossBetween val="midCat"/>
        <c:majorUnit val="7"/>
        <c:minorUnit val="3.5"/>
      </c:valAx>
      <c:valAx>
        <c:axId val="216038784"/>
        <c:scaling>
          <c:orientation val="minMax"/>
          <c:max val="75"/>
          <c:min val="4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216036480"/>
        <c:crosses val="autoZero"/>
        <c:crossBetween val="midCat"/>
        <c:majorUnit val="5"/>
      </c:valAx>
    </c:plotArea>
    <c:legend>
      <c:legendPos val="r"/>
      <c:layout>
        <c:manualLayout>
          <c:xMode val="edge"/>
          <c:yMode val="edge"/>
          <c:x val="0.63386473902218055"/>
          <c:y val="0.43631792313089579"/>
          <c:w val="0.36613526097781945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 mA'!$B$9</c:f>
              <c:strCache>
                <c:ptCount val="1"/>
                <c:pt idx="0">
                  <c:v>Desvio de Allan (I_1 = 30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287267826834262"/>
                  <c:y val="-3.8362048803305529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-0,059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+ 37,620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" sourceLinked="0"/>
              <c:spPr>
                <a:solidFill>
                  <a:sysClr val="window" lastClr="FFFFFF"/>
                </a:solidFill>
              </c:spPr>
            </c:trendlineLbl>
          </c:trendline>
          <c:xVal>
            <c:numRef>
              <c:f>'Estabilidade 30 mA'!$C$8:$L$8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30 mA'!$C$9:$L$9</c:f>
              <c:numCache>
                <c:formatCode>0.00</c:formatCode>
                <c:ptCount val="10"/>
                <c:pt idx="0">
                  <c:v>42.663999999999994</c:v>
                </c:pt>
                <c:pt idx="1">
                  <c:v>45.100999999999999</c:v>
                </c:pt>
                <c:pt idx="2">
                  <c:v>30.463000000000001</c:v>
                </c:pt>
                <c:pt idx="3">
                  <c:v>32.1</c:v>
                </c:pt>
                <c:pt idx="4">
                  <c:v>29.023999999999997</c:v>
                </c:pt>
                <c:pt idx="5">
                  <c:v>25.510999999999999</c:v>
                </c:pt>
                <c:pt idx="6">
                  <c:v>44.335000000000001</c:v>
                </c:pt>
                <c:pt idx="7">
                  <c:v>30.740999999999996</c:v>
                </c:pt>
                <c:pt idx="8">
                  <c:v>42.698</c:v>
                </c:pt>
                <c:pt idx="9">
                  <c:v>33.24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93728"/>
        <c:axId val="131595648"/>
      </c:scatterChart>
      <c:valAx>
        <c:axId val="131593728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595648"/>
        <c:crosses val="autoZero"/>
        <c:crossBetween val="midCat"/>
        <c:majorUnit val="7"/>
        <c:minorUnit val="3.5"/>
      </c:valAx>
      <c:valAx>
        <c:axId val="131595648"/>
        <c:scaling>
          <c:orientation val="minMax"/>
          <c:max val="47.5"/>
          <c:min val="23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/>
                </a:pPr>
                <a:r>
                  <a:rPr lang="en-US" sz="1100" b="0"/>
                  <a:t>Desvio de Allan (A)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593728"/>
        <c:crosses val="autoZero"/>
        <c:crossBetween val="midCat"/>
        <c:majorUnit val="3.5"/>
      </c:valAx>
    </c:plotArea>
    <c:legend>
      <c:legendPos val="r"/>
      <c:layout>
        <c:manualLayout>
          <c:xMode val="edge"/>
          <c:yMode val="edge"/>
          <c:x val="0.63317395524542841"/>
          <c:y val="0.43631792313089579"/>
          <c:w val="0.3487433221115423"/>
          <c:h val="0.1273641537382084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10 mA'!$B$3</c:f>
              <c:strCache>
                <c:ptCount val="1"/>
                <c:pt idx="0">
                  <c:v>Desvio de Allan (I_1 = 10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4.0997722327405471E-2"/>
                  <c:y val="-6.1901457862321665E-2"/>
                </c:manualLayout>
              </c:layout>
              <c:tx>
                <c:rich>
                  <a:bodyPr/>
                  <a:lstStyle/>
                  <a:p>
                    <a:pPr>
                      <a:defRPr sz="1200"/>
                    </a:pPr>
                    <a:r>
                      <a:rPr lang="en-US" sz="1200" i="1" baseline="0"/>
                      <a:t>y</a:t>
                    </a:r>
                    <a:r>
                      <a:rPr lang="en-US" sz="1200" baseline="0"/>
                      <a:t> = -0,022</a:t>
                    </a:r>
                    <a:r>
                      <a:rPr lang="en-US" sz="1200" i="1" baseline="0"/>
                      <a:t>x</a:t>
                    </a:r>
                    <a:r>
                      <a:rPr lang="en-US" sz="1200" baseline="0"/>
                      <a:t> + 14,137</a:t>
                    </a:r>
                    <a:endParaRPr lang="en-US" sz="1200"/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10 mA'!$C$2:$L$2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10 mA'!$C$3:$L$3</c:f>
              <c:numCache>
                <c:formatCode>0.00</c:formatCode>
                <c:ptCount val="10"/>
                <c:pt idx="0">
                  <c:v>9.5328999999999997</c:v>
                </c:pt>
                <c:pt idx="1">
                  <c:v>12.513</c:v>
                </c:pt>
                <c:pt idx="2">
                  <c:v>22.236999999999998</c:v>
                </c:pt>
                <c:pt idx="3">
                  <c:v>11.891</c:v>
                </c:pt>
                <c:pt idx="4">
                  <c:v>15.703999999999999</c:v>
                </c:pt>
                <c:pt idx="6">
                  <c:v>10.732999999999999</c:v>
                </c:pt>
                <c:pt idx="7">
                  <c:v>10.78</c:v>
                </c:pt>
                <c:pt idx="8">
                  <c:v>15.816000000000001</c:v>
                </c:pt>
                <c:pt idx="9">
                  <c:v>11.151999999999999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'Estabilidade 10 mA'!$H$40</c:f>
              <c:numCache>
                <c:formatCode>General</c:formatCode>
                <c:ptCount val="1"/>
                <c:pt idx="0">
                  <c:v>37.949999999999996</c:v>
                </c:pt>
              </c:numCache>
            </c:numRef>
          </c:xVal>
          <c:yVal>
            <c:numRef>
              <c:f>'Estabilidade 10 mA'!$H$41</c:f>
              <c:numCache>
                <c:formatCode>0.00</c:formatCode>
                <c:ptCount val="1"/>
                <c:pt idx="0">
                  <c:v>23.483000000000001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6592"/>
        <c:axId val="131661824"/>
      </c:scatterChart>
      <c:valAx>
        <c:axId val="131646592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661824"/>
        <c:crosses val="autoZero"/>
        <c:crossBetween val="midCat"/>
        <c:majorUnit val="7"/>
        <c:minorUnit val="3.5"/>
      </c:valAx>
      <c:valAx>
        <c:axId val="131661824"/>
        <c:scaling>
          <c:orientation val="minMax"/>
          <c:max val="25"/>
          <c:min val="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/>
                </a:pPr>
                <a:r>
                  <a:rPr lang="en-US" sz="1100" b="0"/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646592"/>
        <c:crosses val="autoZero"/>
        <c:crossBetween val="midCat"/>
        <c:majorUnit val="2"/>
      </c:valAx>
    </c:plotArea>
    <c:legend>
      <c:legendPos val="r"/>
      <c:legendEntry>
        <c:idx val="1"/>
        <c:txPr>
          <a:bodyPr/>
          <a:lstStyle/>
          <a:p>
            <a:pPr>
              <a:defRPr b="0" i="1"/>
            </a:pPr>
            <a:endParaRPr lang="en-US"/>
          </a:p>
        </c:txPr>
      </c:legendEntry>
      <c:layout>
        <c:manualLayout>
          <c:xMode val="edge"/>
          <c:yMode val="edge"/>
          <c:x val="0.62898318837519573"/>
          <c:y val="0.43301759309789245"/>
          <c:w val="0.3328078512759361"/>
          <c:h val="0.2863210415529742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10 mA'!$B$9</c:f>
              <c:strCache>
                <c:ptCount val="1"/>
                <c:pt idx="0">
                  <c:v>Desvio de Allan (I_1 = 10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30107978914924832"/>
                  <c:y val="4.7476157064525348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0,057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+ 18,872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10 mA'!$C$8:$L$8</c:f>
              <c:numCache>
                <c:formatCode>General</c:formatCode>
                <c:ptCount val="10"/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10 mA'!$C$9:$L$9</c:f>
              <c:numCache>
                <c:formatCode>0.00</c:formatCode>
                <c:ptCount val="10"/>
                <c:pt idx="1">
                  <c:v>15.483000000000001</c:v>
                </c:pt>
                <c:pt idx="2">
                  <c:v>24.292000000000002</c:v>
                </c:pt>
                <c:pt idx="3">
                  <c:v>18.516999999999999</c:v>
                </c:pt>
                <c:pt idx="4">
                  <c:v>17.818000000000001</c:v>
                </c:pt>
                <c:pt idx="5">
                  <c:v>27.952000000000002</c:v>
                </c:pt>
                <c:pt idx="6">
                  <c:v>22.262</c:v>
                </c:pt>
                <c:pt idx="7">
                  <c:v>18.63</c:v>
                </c:pt>
                <c:pt idx="8">
                  <c:v>24.016999999999999</c:v>
                </c:pt>
                <c:pt idx="9">
                  <c:v>20.456000000000003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'Estabilidade 10 mA'!$P$40</c:f>
              <c:numCache>
                <c:formatCode>General</c:formatCode>
                <c:ptCount val="1"/>
                <c:pt idx="0">
                  <c:v>3.45</c:v>
                </c:pt>
              </c:numCache>
            </c:numRef>
          </c:xVal>
          <c:yVal>
            <c:numRef>
              <c:f>'Estabilidade 10 mA'!$P$41</c:f>
              <c:numCache>
                <c:formatCode>0.00</c:formatCode>
                <c:ptCount val="1"/>
                <c:pt idx="0">
                  <c:v>6.4100999999999999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92032"/>
        <c:axId val="131706880"/>
      </c:scatterChart>
      <c:valAx>
        <c:axId val="131692032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>
                <a:latin typeface="Arial Rounded MT Bold" panose="020F0704030504030204" pitchFamily="34" charset="0"/>
              </a:defRPr>
            </a:pPr>
            <a:endParaRPr lang="en-US"/>
          </a:p>
        </c:txPr>
        <c:crossAx val="131706880"/>
        <c:crosses val="autoZero"/>
        <c:crossBetween val="midCat"/>
        <c:majorUnit val="7"/>
        <c:minorUnit val="3.5"/>
      </c:valAx>
      <c:valAx>
        <c:axId val="131706880"/>
        <c:scaling>
          <c:orientation val="minMax"/>
          <c:max val="29"/>
          <c:min val="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 b="0">
                <a:latin typeface="Arial Rounded MT Bold" panose="020F0704030504030204" pitchFamily="34" charset="0"/>
              </a:defRPr>
            </a:pPr>
            <a:endParaRPr lang="en-US"/>
          </a:p>
        </c:txPr>
        <c:crossAx val="131692032"/>
        <c:crosses val="autoZero"/>
        <c:crossBetween val="midCat"/>
        <c:majorUnit val="3"/>
      </c:valAx>
    </c:plotArea>
    <c:legend>
      <c:legendPos val="r"/>
      <c:legendEntry>
        <c:idx val="1"/>
        <c:txPr>
          <a:bodyPr/>
          <a:lstStyle/>
          <a:p>
            <a:pPr>
              <a:defRPr sz="1000" b="0" i="1">
                <a:latin typeface="Arial Rounded MT Bold" panose="020F0704030504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471601049180393"/>
          <c:y val="0.43631792313089579"/>
          <c:w val="0.31390406866311832"/>
          <c:h val="0.28632104155297422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 mA'!$B$3</c:f>
              <c:strCache>
                <c:ptCount val="1"/>
                <c:pt idx="0">
                  <c:v>Desvio de Allan (I_1 = 3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4.0501854308665784E-2"/>
                  <c:y val="-9.6903406876120687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-0,0045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+ 2,5682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 mA'!$C$2:$L$2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 mA'!$C$3:$L$3</c:f>
              <c:numCache>
                <c:formatCode>0.00</c:formatCode>
                <c:ptCount val="10"/>
                <c:pt idx="0">
                  <c:v>2.2888999999999999</c:v>
                </c:pt>
                <c:pt idx="1">
                  <c:v>2.7445000000000004</c:v>
                </c:pt>
                <c:pt idx="2">
                  <c:v>2.3819999999999997</c:v>
                </c:pt>
                <c:pt idx="3">
                  <c:v>2.6663999999999999</c:v>
                </c:pt>
                <c:pt idx="4">
                  <c:v>2.1258999999999997</c:v>
                </c:pt>
                <c:pt idx="5">
                  <c:v>2.1779999999999999</c:v>
                </c:pt>
                <c:pt idx="6">
                  <c:v>2.8144</c:v>
                </c:pt>
                <c:pt idx="7">
                  <c:v>3.0244</c:v>
                </c:pt>
                <c:pt idx="8">
                  <c:v>2.0400999999999998</c:v>
                </c:pt>
                <c:pt idx="9">
                  <c:v>1.8499000000000001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70144"/>
        <c:axId val="131272064"/>
      </c:scatterChart>
      <c:valAx>
        <c:axId val="131270144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1272064"/>
        <c:crosses val="autoZero"/>
        <c:crossBetween val="midCat"/>
        <c:majorUnit val="7"/>
        <c:minorUnit val="3.5"/>
      </c:valAx>
      <c:valAx>
        <c:axId val="131272064"/>
        <c:scaling>
          <c:orientation val="minMax"/>
          <c:max val="3.1"/>
          <c:min val="1.7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12701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223755547318561"/>
          <c:y val="0.43631792313089579"/>
          <c:w val="0.35644390950963223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 mA'!$B$9</c:f>
              <c:strCache>
                <c:ptCount val="1"/>
                <c:pt idx="0">
                  <c:v>Desvio de Allan (I_1 = 3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27960866046321103"/>
                  <c:y val="0.20699176216834281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0,0047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+ 1,6238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 mA'!$C$8:$L$8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 mA'!$C$9:$L$9</c:f>
              <c:numCache>
                <c:formatCode>0.00</c:formatCode>
                <c:ptCount val="10"/>
                <c:pt idx="0">
                  <c:v>1.1859999999999999</c:v>
                </c:pt>
                <c:pt idx="1">
                  <c:v>1.7275999999999998</c:v>
                </c:pt>
                <c:pt idx="2">
                  <c:v>2.0387</c:v>
                </c:pt>
                <c:pt idx="3">
                  <c:v>1.7724</c:v>
                </c:pt>
                <c:pt idx="4">
                  <c:v>2.0625999999999998</c:v>
                </c:pt>
                <c:pt idx="5">
                  <c:v>1.4773000000000001</c:v>
                </c:pt>
                <c:pt idx="6">
                  <c:v>1.9313000000000002</c:v>
                </c:pt>
                <c:pt idx="7">
                  <c:v>2.3330000000000002</c:v>
                </c:pt>
                <c:pt idx="8">
                  <c:v>1.6234</c:v>
                </c:pt>
                <c:pt idx="9">
                  <c:v>1.7116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31328"/>
        <c:axId val="37333248"/>
      </c:scatterChart>
      <c:valAx>
        <c:axId val="37331328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37333248"/>
        <c:crosses val="autoZero"/>
        <c:crossBetween val="midCat"/>
        <c:majorUnit val="7"/>
        <c:minorUnit val="3.5"/>
      </c:valAx>
      <c:valAx>
        <c:axId val="37333248"/>
        <c:scaling>
          <c:orientation val="minMax"/>
          <c:max val="2.4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 b="0">
                <a:latin typeface="Arial Rounded MT Bold" panose="020F0704030504030204" pitchFamily="34" charset="0"/>
              </a:defRPr>
            </a:pPr>
            <a:endParaRPr lang="en-US"/>
          </a:p>
        </c:txPr>
        <c:crossAx val="37331328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64242628672368141"/>
          <c:y val="0.43301759309789245"/>
          <c:w val="0.3394909906332893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mA'!$B$3</c:f>
              <c:strCache>
                <c:ptCount val="1"/>
                <c:pt idx="0">
                  <c:v>Desvio de Allan (I_1 = 1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9.0135459909632086E-3"/>
                  <c:y val="-3.0916556222551389E-3"/>
                </c:manualLayout>
              </c:layout>
              <c:tx>
                <c:rich>
                  <a:bodyPr/>
                  <a:lstStyle/>
                  <a:p>
                    <a:pPr>
                      <a:defRPr sz="1200" b="0">
                        <a:latin typeface="Arial Rounded MT Bold" panose="020F0704030504030204" pitchFamily="34" charset="0"/>
                      </a:defRPr>
                    </a:pPr>
                    <a:r>
                      <a:rPr lang="en-US" b="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b="0" baseline="0">
                        <a:latin typeface="Arial Rounded MT Bold" panose="020F0704030504030204" pitchFamily="34" charset="0"/>
                      </a:rPr>
                      <a:t> = 2E-11</a:t>
                    </a:r>
                    <a:r>
                      <a:rPr lang="en-US" b="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b="0" baseline="0">
                        <a:latin typeface="Arial Rounded MT Bold" panose="020F0704030504030204" pitchFamily="34" charset="0"/>
                      </a:rPr>
                      <a:t> + 1E-09</a:t>
                    </a:r>
                    <a:endParaRPr lang="en-US" b="0">
                      <a:latin typeface="Arial Rounded MT Bold" panose="020F0704030504030204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</c:spPr>
            </c:trendlineLbl>
          </c:trendline>
          <c:xVal>
            <c:numRef>
              <c:f>'Estabilidade 1 mA'!$C$2:$L$2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7">
                  <c:v>51.75</c:v>
                </c:pt>
                <c:pt idx="8">
                  <c:v>58.65</c:v>
                </c:pt>
                <c:pt idx="9">
                  <c:v>65.55</c:v>
                </c:pt>
              </c:numCache>
            </c:numRef>
          </c:xVal>
          <c:yVal>
            <c:numRef>
              <c:f>'Estabilidade 1 mA'!$C$3:$L$3</c:f>
              <c:numCache>
                <c:formatCode>0.00</c:formatCode>
                <c:ptCount val="10"/>
                <c:pt idx="0">
                  <c:v>1.2994000000000001</c:v>
                </c:pt>
                <c:pt idx="1">
                  <c:v>1.5152000000000001</c:v>
                </c:pt>
                <c:pt idx="2">
                  <c:v>1.3506</c:v>
                </c:pt>
                <c:pt idx="3">
                  <c:v>1.3574000000000002</c:v>
                </c:pt>
                <c:pt idx="4">
                  <c:v>1.4645000000000001</c:v>
                </c:pt>
                <c:pt idx="5">
                  <c:v>1.8406</c:v>
                </c:pt>
                <c:pt idx="7">
                  <c:v>1.8714</c:v>
                </c:pt>
                <c:pt idx="8">
                  <c:v>2.1614</c:v>
                </c:pt>
                <c:pt idx="9">
                  <c:v>2.1203999999999996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03136"/>
        <c:axId val="131450368"/>
      </c:scatterChart>
      <c:valAx>
        <c:axId val="131403136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1450368"/>
        <c:crosses val="autoZero"/>
        <c:crossBetween val="midCat"/>
        <c:majorUnit val="7"/>
        <c:minorUnit val="3.5"/>
      </c:valAx>
      <c:valAx>
        <c:axId val="131450368"/>
        <c:scaling>
          <c:orientation val="minMax"/>
          <c:max val="2.8500000000000011E-9"/>
          <c:min val="1.1000000000000005E-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0.00E+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1403136"/>
        <c:crosses val="autoZero"/>
        <c:crossBetween val="midCat"/>
        <c:majorUnit val="2.5000000000000012E-10"/>
      </c:valAx>
    </c:plotArea>
    <c:legend>
      <c:legendPos val="r"/>
      <c:layout>
        <c:manualLayout>
          <c:xMode val="edge"/>
          <c:yMode val="edge"/>
          <c:x val="0.63223755547318561"/>
          <c:y val="0.43631792313089579"/>
          <c:w val="0.36620701080360191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mA'!$B$9</c:f>
              <c:strCache>
                <c:ptCount val="1"/>
                <c:pt idx="0">
                  <c:v>Desvio de Allan (I_1 = 1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1.9042253779769643E-2"/>
                  <c:y val="-3.8483667264364231E-2"/>
                </c:manualLayout>
              </c:layout>
              <c:tx>
                <c:rich>
                  <a:bodyPr/>
                  <a:lstStyle/>
                  <a:p>
                    <a:pPr>
                      <a:defRPr sz="1200" b="0">
                        <a:latin typeface="Arial Rounded MT Bold" panose="020F0704030504030204" pitchFamily="34" charset="0"/>
                      </a:defRPr>
                    </a:pPr>
                    <a:r>
                      <a:rPr lang="en-US" sz="1200" b="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="0" baseline="0">
                        <a:latin typeface="Arial Rounded MT Bold" panose="020F0704030504030204" pitchFamily="34" charset="0"/>
                      </a:rPr>
                      <a:t> = 1E-11</a:t>
                    </a:r>
                    <a:r>
                      <a:rPr lang="en-US" sz="1200" b="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="0" baseline="0">
                        <a:latin typeface="Arial Rounded MT Bold" panose="020F0704030504030204" pitchFamily="34" charset="0"/>
                      </a:rPr>
                      <a:t> + 5E-10</a:t>
                    </a:r>
                    <a:endParaRPr lang="en-US" sz="1200" b="0">
                      <a:latin typeface="Arial Rounded MT Bold" panose="020F0704030504030204" pitchFamily="34" charset="0"/>
                    </a:endParaRP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</c:spPr>
            </c:trendlineLbl>
          </c:trendline>
          <c:xVal>
            <c:numRef>
              <c:f>'Estabilidade 1 mA'!$C$8:$L$8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</c:numCache>
            </c:numRef>
          </c:xVal>
          <c:yVal>
            <c:numRef>
              <c:f>'Estabilidade 1 mA'!$C$9:$L$9</c:f>
              <c:numCache>
                <c:formatCode>0.00</c:formatCode>
                <c:ptCount val="10"/>
                <c:pt idx="0">
                  <c:v>0.80539000000000005</c:v>
                </c:pt>
                <c:pt idx="1">
                  <c:v>0.62700999999999996</c:v>
                </c:pt>
                <c:pt idx="2">
                  <c:v>0.62780000000000002</c:v>
                </c:pt>
                <c:pt idx="3">
                  <c:v>0.84714</c:v>
                </c:pt>
                <c:pt idx="4">
                  <c:v>0.48719000000000007</c:v>
                </c:pt>
                <c:pt idx="5">
                  <c:v>1.1437000000000002</c:v>
                </c:pt>
                <c:pt idx="6">
                  <c:v>0.72580999999999996</c:v>
                </c:pt>
                <c:pt idx="7">
                  <c:v>1.0609</c:v>
                </c:pt>
                <c:pt idx="8">
                  <c:v>0.82919999999999994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23744"/>
        <c:axId val="130630016"/>
      </c:scatterChart>
      <c:valAx>
        <c:axId val="130623744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0630016"/>
        <c:crosses val="autoZero"/>
        <c:crossBetween val="midCat"/>
        <c:majorUnit val="7"/>
        <c:minorUnit val="3.5"/>
      </c:valAx>
      <c:valAx>
        <c:axId val="130630016"/>
        <c:scaling>
          <c:orientation val="minMax"/>
          <c:max val="1.800000000000001E-9"/>
          <c:min val="4.0000000000000022E-1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0.00E+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0623744"/>
        <c:crosses val="autoZero"/>
        <c:crossBetween val="midCat"/>
        <c:majorUnit val="2.0000000000000011E-10"/>
      </c:valAx>
    </c:plotArea>
    <c:legend>
      <c:legendPos val="r"/>
      <c:layout>
        <c:manualLayout>
          <c:xMode val="edge"/>
          <c:yMode val="edge"/>
          <c:x val="0.64242628672368141"/>
          <c:y val="0.43631792313089579"/>
          <c:w val="0.34565921161879132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 s descarte'!$B$3</c:f>
              <c:strCache>
                <c:ptCount val="1"/>
                <c:pt idx="0">
                  <c:v>Desvio de Allan (I_1 = 1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4.0751123909270451E-2"/>
                  <c:y val="0.2350193602037369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0,014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+ 1,187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 mA'!$C$2:$L$2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7">
                  <c:v>51.75</c:v>
                </c:pt>
                <c:pt idx="8">
                  <c:v>58.65</c:v>
                </c:pt>
                <c:pt idx="9">
                  <c:v>65.55</c:v>
                </c:pt>
              </c:numCache>
            </c:numRef>
          </c:xVal>
          <c:yVal>
            <c:numRef>
              <c:f>'Estabilidade 1 mA'!$C$3:$L$3</c:f>
              <c:numCache>
                <c:formatCode>0.00</c:formatCode>
                <c:ptCount val="10"/>
                <c:pt idx="0">
                  <c:v>1.2994000000000001</c:v>
                </c:pt>
                <c:pt idx="1">
                  <c:v>1.5152000000000001</c:v>
                </c:pt>
                <c:pt idx="2">
                  <c:v>1.3506</c:v>
                </c:pt>
                <c:pt idx="3">
                  <c:v>1.3574000000000002</c:v>
                </c:pt>
                <c:pt idx="4">
                  <c:v>1.4645000000000001</c:v>
                </c:pt>
                <c:pt idx="5">
                  <c:v>1.8406</c:v>
                </c:pt>
                <c:pt idx="7">
                  <c:v>1.8714</c:v>
                </c:pt>
                <c:pt idx="8">
                  <c:v>2.1614</c:v>
                </c:pt>
                <c:pt idx="9">
                  <c:v>2.1203999999999996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'Estabilidade 1 mA'!$I$40</c:f>
              <c:numCache>
                <c:formatCode>General</c:formatCode>
                <c:ptCount val="1"/>
                <c:pt idx="0">
                  <c:v>44.849999999999994</c:v>
                </c:pt>
              </c:numCache>
            </c:numRef>
          </c:xVal>
          <c:yVal>
            <c:numRef>
              <c:f>'Estabilidade 1 mA'!$I$41</c:f>
              <c:numCache>
                <c:formatCode>0.00</c:formatCode>
                <c:ptCount val="1"/>
                <c:pt idx="0">
                  <c:v>2.7906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59840"/>
        <c:axId val="130670592"/>
      </c:scatterChart>
      <c:valAx>
        <c:axId val="130659840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0670592"/>
        <c:crosses val="autoZero"/>
        <c:crossBetween val="midCat"/>
        <c:majorUnit val="7"/>
        <c:minorUnit val="3.5"/>
      </c:valAx>
      <c:valAx>
        <c:axId val="130670592"/>
        <c:scaling>
          <c:orientation val="minMax"/>
          <c:max val="2.8499999999999996"/>
          <c:min val="1.100000000000000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0659840"/>
        <c:crosses val="autoZero"/>
        <c:crossBetween val="midCat"/>
        <c:majorUnit val="0.25"/>
      </c:valAx>
    </c:plotArea>
    <c:legend>
      <c:legendPos val="r"/>
      <c:legendEntry>
        <c:idx val="1"/>
        <c:txPr>
          <a:bodyPr/>
          <a:lstStyle/>
          <a:p>
            <a:pPr>
              <a:defRPr sz="1000" b="0" i="1">
                <a:latin typeface="Arial Rounded MT Bold" panose="020F0704030504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223755547318561"/>
          <c:y val="0.43631792313089579"/>
          <c:w val="0.33068718842095601"/>
          <c:h val="0.28632104155297422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mA'!$B$9</c:f>
              <c:strCache>
                <c:ptCount val="1"/>
                <c:pt idx="0">
                  <c:v>Desvio de Allan (I_1 = 1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1.8760090261758133E-2"/>
                  <c:y val="-2.3022270731010108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0,0046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+ 0,6532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 mA'!$C$8:$L$8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</c:numCache>
            </c:numRef>
          </c:xVal>
          <c:yVal>
            <c:numRef>
              <c:f>'Estabilidade 1 mA'!$C$9:$L$9</c:f>
              <c:numCache>
                <c:formatCode>0.00</c:formatCode>
                <c:ptCount val="10"/>
                <c:pt idx="0">
                  <c:v>0.80539000000000005</c:v>
                </c:pt>
                <c:pt idx="1">
                  <c:v>0.62700999999999996</c:v>
                </c:pt>
                <c:pt idx="2">
                  <c:v>0.62780000000000002</c:v>
                </c:pt>
                <c:pt idx="3">
                  <c:v>0.84714</c:v>
                </c:pt>
                <c:pt idx="4">
                  <c:v>0.48719000000000007</c:v>
                </c:pt>
                <c:pt idx="5">
                  <c:v>1.1437000000000002</c:v>
                </c:pt>
                <c:pt idx="6">
                  <c:v>0.72580999999999996</c:v>
                </c:pt>
                <c:pt idx="7">
                  <c:v>1.0609</c:v>
                </c:pt>
                <c:pt idx="8">
                  <c:v>0.82919999999999994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xVal>
            <c:numRef>
              <c:f>'Estabilidade 1 mA'!$Y$40</c:f>
              <c:numCache>
                <c:formatCode>General</c:formatCode>
                <c:ptCount val="1"/>
                <c:pt idx="0">
                  <c:v>65.55</c:v>
                </c:pt>
              </c:numCache>
            </c:numRef>
          </c:xVal>
          <c:yVal>
            <c:numRef>
              <c:f>'Estabilidade 1 mA'!$Y$41</c:f>
              <c:numCache>
                <c:formatCode>0.00</c:formatCode>
                <c:ptCount val="1"/>
                <c:pt idx="0">
                  <c:v>1.7516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90752"/>
        <c:axId val="132497408"/>
      </c:scatterChart>
      <c:valAx>
        <c:axId val="132490752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497408"/>
        <c:crosses val="autoZero"/>
        <c:crossBetween val="midCat"/>
        <c:majorUnit val="7"/>
        <c:minorUnit val="3.5"/>
      </c:valAx>
      <c:valAx>
        <c:axId val="132497408"/>
        <c:scaling>
          <c:orientation val="minMax"/>
          <c:max val="1.8"/>
          <c:min val="0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490752"/>
        <c:crosses val="autoZero"/>
        <c:crossBetween val="midCat"/>
        <c:majorUnit val="0.2"/>
      </c:valAx>
    </c:plotArea>
    <c:legend>
      <c:legendPos val="r"/>
      <c:legendEntry>
        <c:idx val="1"/>
        <c:txPr>
          <a:bodyPr/>
          <a:lstStyle/>
          <a:p>
            <a:pPr>
              <a:defRPr sz="1000" b="0" i="1">
                <a:latin typeface="Arial Rounded MT Bold" panose="020F0704030504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5006963276989171"/>
          <c:y val="0.43631792313089579"/>
          <c:w val="0.31565527626214662"/>
          <c:h val="0.28632104155297422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300 uA'!$B$3</c:f>
              <c:strCache>
                <c:ptCount val="1"/>
                <c:pt idx="0">
                  <c:v>Desvio de Allan (I_1 = 300 uA,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26804940539253752"/>
                  <c:y val="-1.0000519737013071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0,0020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+ 0,9689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300 uA'!$C$2:$L$2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5">
                  <c:v>37.950000000000003</c:v>
                </c:pt>
                <c:pt idx="6">
                  <c:v>44.85</c:v>
                </c:pt>
                <c:pt idx="7">
                  <c:v>51.75</c:v>
                </c:pt>
                <c:pt idx="8">
                  <c:v>58.65</c:v>
                </c:pt>
                <c:pt idx="9">
                  <c:v>65.55</c:v>
                </c:pt>
              </c:numCache>
            </c:numRef>
          </c:xVal>
          <c:yVal>
            <c:numRef>
              <c:f>'Estabilidade 300 uA'!$C$3:$L$3</c:f>
              <c:numCache>
                <c:formatCode>0.00</c:formatCode>
                <c:ptCount val="10"/>
                <c:pt idx="0">
                  <c:v>0.86825999999999992</c:v>
                </c:pt>
                <c:pt idx="1">
                  <c:v>1.5247999999999999</c:v>
                </c:pt>
                <c:pt idx="2">
                  <c:v>0.69862999999999997</c:v>
                </c:pt>
                <c:pt idx="3">
                  <c:v>0.78645999999999994</c:v>
                </c:pt>
                <c:pt idx="5">
                  <c:v>1.1187</c:v>
                </c:pt>
                <c:pt idx="6">
                  <c:v>1.1547000000000001</c:v>
                </c:pt>
                <c:pt idx="7">
                  <c:v>0.96628999999999998</c:v>
                </c:pt>
                <c:pt idx="8">
                  <c:v>0.88751999999999998</c:v>
                </c:pt>
                <c:pt idx="9">
                  <c:v>1.3307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</c:spPr>
          </c:marker>
          <c:xVal>
            <c:numRef>
              <c:f>'Estabilidade 300 uA'!$G$40</c:f>
              <c:numCache>
                <c:formatCode>General</c:formatCode>
                <c:ptCount val="1"/>
                <c:pt idx="0">
                  <c:v>31.049999999999997</c:v>
                </c:pt>
              </c:numCache>
            </c:numRef>
          </c:xVal>
          <c:yVal>
            <c:numRef>
              <c:f>'Estabilidade 300 uA'!$G$41</c:f>
              <c:numCache>
                <c:formatCode>0.00</c:formatCode>
                <c:ptCount val="1"/>
                <c:pt idx="0">
                  <c:v>2.5337000000000001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28960"/>
        <c:axId val="132211456"/>
      </c:scatterChart>
      <c:valAx>
        <c:axId val="131528960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211456"/>
        <c:crosses val="autoZero"/>
        <c:crossBetween val="midCat"/>
        <c:majorUnit val="7"/>
        <c:minorUnit val="3.5"/>
      </c:valAx>
      <c:valAx>
        <c:axId val="132211456"/>
        <c:scaling>
          <c:orientation val="minMax"/>
          <c:max val="2.6"/>
          <c:min val="0.6000000000000000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1528960"/>
        <c:crosses val="autoZero"/>
        <c:crossBetween val="midCat"/>
        <c:majorUnit val="0.25"/>
      </c:valAx>
    </c:plotArea>
    <c:legend>
      <c:legendPos val="r"/>
      <c:legendEntry>
        <c:idx val="1"/>
        <c:txPr>
          <a:bodyPr/>
          <a:lstStyle/>
          <a:p>
            <a:pPr>
              <a:defRPr sz="1000" b="0" i="1">
                <a:latin typeface="Arial Rounded MT Bold" panose="020F0704030504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3560048262008"/>
          <c:y val="0.43961825316389908"/>
          <c:w val="0.34851017252373734"/>
          <c:h val="0.28632104155297422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300 uA'!$B$9</c:f>
              <c:strCache>
                <c:ptCount val="1"/>
                <c:pt idx="0">
                  <c:v>Desvio de Allan (I_1 = 300 uA,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2.4486650383018772E-2"/>
                  <c:y val="-0.10663522257737584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 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= -0,0023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+ 0,5292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300 uA'!$C$8:$L$8</c:f>
              <c:numCache>
                <c:formatCode>General</c:formatCode>
                <c:ptCount val="10"/>
                <c:pt idx="0">
                  <c:v>3.45</c:v>
                </c:pt>
                <c:pt idx="2">
                  <c:v>17.25</c:v>
                </c:pt>
                <c:pt idx="3">
                  <c:v>24.15</c:v>
                </c:pt>
                <c:pt idx="5">
                  <c:v>37.950000000000003</c:v>
                </c:pt>
                <c:pt idx="6">
                  <c:v>44.85</c:v>
                </c:pt>
                <c:pt idx="7">
                  <c:v>51.75</c:v>
                </c:pt>
                <c:pt idx="8">
                  <c:v>58.65</c:v>
                </c:pt>
                <c:pt idx="9">
                  <c:v>65.55</c:v>
                </c:pt>
              </c:numCache>
            </c:numRef>
          </c:xVal>
          <c:yVal>
            <c:numRef>
              <c:f>'Estabilidade 300 uA'!$C$9:$L$9</c:f>
              <c:numCache>
                <c:formatCode>0.00</c:formatCode>
                <c:ptCount val="10"/>
                <c:pt idx="0">
                  <c:v>0.45378000000000002</c:v>
                </c:pt>
                <c:pt idx="2">
                  <c:v>0.45235999999999998</c:v>
                </c:pt>
                <c:pt idx="3">
                  <c:v>0.63966000000000001</c:v>
                </c:pt>
                <c:pt idx="5">
                  <c:v>0.47693000000000002</c:v>
                </c:pt>
                <c:pt idx="6">
                  <c:v>0.31669999999999998</c:v>
                </c:pt>
                <c:pt idx="7">
                  <c:v>0.43179000000000001</c:v>
                </c:pt>
                <c:pt idx="8">
                  <c:v>0.42266999999999999</c:v>
                </c:pt>
                <c:pt idx="9">
                  <c:v>0.34642000000000001</c:v>
                </c:pt>
              </c:numCache>
            </c:numRef>
          </c:yVal>
          <c:smooth val="0"/>
        </c:ser>
        <c:ser>
          <c:idx val="0"/>
          <c:order val="1"/>
          <c:tx>
            <c:v>Outlier</c:v>
          </c:tx>
          <c:spPr>
            <a:ln w="28575">
              <a:noFill/>
            </a:ln>
          </c:spPr>
          <c:marker>
            <c:symbol val="square"/>
            <c:size val="9"/>
            <c:spPr>
              <a:pattFill prst="pct30">
                <a:fgClr>
                  <a:schemeClr val="tx1"/>
                </a:fgClr>
                <a:bgClr>
                  <a:schemeClr val="bg1"/>
                </a:bgClr>
              </a:pattFill>
              <a:ln w="15875">
                <a:solidFill>
                  <a:schemeClr val="tx1"/>
                </a:solidFill>
              </a:ln>
            </c:spPr>
          </c:marker>
          <c:xVal>
            <c:numRef>
              <c:f>('Estabilidade 300 uA'!$Q$40,'Estabilidade 300 uA'!$T$40)</c:f>
              <c:numCache>
                <c:formatCode>General</c:formatCode>
                <c:ptCount val="2"/>
                <c:pt idx="0">
                  <c:v>10.350000000000001</c:v>
                </c:pt>
                <c:pt idx="1">
                  <c:v>31.049999999999997</c:v>
                </c:pt>
              </c:numCache>
            </c:numRef>
          </c:xVal>
          <c:yVal>
            <c:numRef>
              <c:f>('Estabilidade 300 uA'!$Q$41,'Estabilidade 300 uA'!$T$41)</c:f>
              <c:numCache>
                <c:formatCode>0.00</c:formatCode>
                <c:ptCount val="2"/>
                <c:pt idx="0">
                  <c:v>0.98033000000000003</c:v>
                </c:pt>
                <c:pt idx="1">
                  <c:v>1.6984000000000001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33472"/>
        <c:axId val="132244224"/>
      </c:scatterChart>
      <c:valAx>
        <c:axId val="132233472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244224"/>
        <c:crosses val="autoZero"/>
        <c:crossBetween val="midCat"/>
        <c:majorUnit val="7"/>
        <c:minorUnit val="3.5"/>
      </c:valAx>
      <c:valAx>
        <c:axId val="132244224"/>
        <c:scaling>
          <c:orientation val="minMax"/>
          <c:max val="1.8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233472"/>
        <c:crosses val="autoZero"/>
        <c:crossBetween val="midCat"/>
        <c:majorUnit val="0.2"/>
      </c:valAx>
    </c:plotArea>
    <c:legend>
      <c:legendPos val="r"/>
      <c:legendEntry>
        <c:idx val="1"/>
        <c:txPr>
          <a:bodyPr/>
          <a:lstStyle/>
          <a:p>
            <a:pPr>
              <a:defRPr sz="1000" b="0" i="1">
                <a:latin typeface="Arial Rounded MT Bold" panose="020F0704030504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7395524542841"/>
          <c:y val="0.42311660299888254"/>
          <c:w val="0.3225389466087048"/>
          <c:h val="0.28632104155297422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10 mA s descarte'!$B$3</c:f>
              <c:strCache>
                <c:ptCount val="1"/>
                <c:pt idx="0">
                  <c:v>Desvio de Allan (I_1 = 10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3.6386359733207689E-2"/>
                  <c:y val="3.9640601855461137E-2"/>
                </c:manualLayout>
              </c:layout>
              <c:tx>
                <c:rich>
                  <a:bodyPr/>
                  <a:lstStyle/>
                  <a:p>
                    <a:pPr>
                      <a:defRPr sz="1200"/>
                    </a:pPr>
                    <a:r>
                      <a:rPr lang="en-US" sz="1200" i="1" baseline="0"/>
                      <a:t>y</a:t>
                    </a:r>
                    <a:r>
                      <a:rPr lang="en-US" sz="1200" baseline="0"/>
                      <a:t> = -0,013</a:t>
                    </a:r>
                    <a:r>
                      <a:rPr lang="en-US" sz="1200" i="1" baseline="0"/>
                      <a:t>x</a:t>
                    </a:r>
                    <a:r>
                      <a:rPr lang="en-US" sz="1200" baseline="0"/>
                      <a:t> + 14,847</a:t>
                    </a:r>
                    <a:endParaRPr lang="en-US" sz="1200"/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10 mA s descarte'!$C$2:$L$2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10 mA s descarte'!$C$3:$L$3</c:f>
              <c:numCache>
                <c:formatCode>0.00</c:formatCode>
                <c:ptCount val="10"/>
                <c:pt idx="0">
                  <c:v>9.5328999999999997</c:v>
                </c:pt>
                <c:pt idx="1">
                  <c:v>12.513</c:v>
                </c:pt>
                <c:pt idx="2">
                  <c:v>22.236999999999998</c:v>
                </c:pt>
                <c:pt idx="3">
                  <c:v>11.891</c:v>
                </c:pt>
                <c:pt idx="4">
                  <c:v>15.703999999999999</c:v>
                </c:pt>
                <c:pt idx="5">
                  <c:v>23.483000000000001</c:v>
                </c:pt>
                <c:pt idx="6">
                  <c:v>10.732999999999999</c:v>
                </c:pt>
                <c:pt idx="7">
                  <c:v>10.78</c:v>
                </c:pt>
                <c:pt idx="8">
                  <c:v>15.816000000000001</c:v>
                </c:pt>
                <c:pt idx="9">
                  <c:v>11.151999999999999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79520"/>
        <c:axId val="131981696"/>
      </c:scatterChart>
      <c:valAx>
        <c:axId val="131979520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/>
                </a:pPr>
                <a:r>
                  <a:rPr lang="en-US" sz="1100" b="0"/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981696"/>
        <c:crosses val="autoZero"/>
        <c:crossBetween val="midCat"/>
        <c:majorUnit val="7"/>
        <c:minorUnit val="3.5"/>
      </c:valAx>
      <c:valAx>
        <c:axId val="131981696"/>
        <c:scaling>
          <c:orientation val="minMax"/>
          <c:max val="25"/>
          <c:min val="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/>
                </a:pPr>
                <a:r>
                  <a:rPr lang="en-US" sz="1100" b="0"/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31979520"/>
        <c:crosses val="autoZero"/>
        <c:crossBetween val="midCat"/>
        <c:majorUnit val="2"/>
      </c:valAx>
    </c:plotArea>
    <c:legend>
      <c:legendPos val="r"/>
      <c:layout>
        <c:manualLayout>
          <c:xMode val="edge"/>
          <c:yMode val="edge"/>
          <c:x val="0.62898318837519573"/>
          <c:y val="0.43301759309789245"/>
          <c:w val="0.36946137790159178"/>
          <c:h val="0.12736415373820847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latin typeface="Arial Rounded MT Bold" panose="020F07040305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10 mA s descarte'!$B$9</c:f>
              <c:strCache>
                <c:ptCount val="1"/>
                <c:pt idx="0">
                  <c:v>Desvio de Allan (I_1 = 10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32158579871357168"/>
                  <c:y val="0.1983014994412827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0,16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+ 14,15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10 mA s descarte'!$C$8:$L$8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10 mA s descarte'!$C$9:$L$9</c:f>
              <c:numCache>
                <c:formatCode>0.00</c:formatCode>
                <c:ptCount val="10"/>
                <c:pt idx="0">
                  <c:v>6.4100999999999999</c:v>
                </c:pt>
                <c:pt idx="1">
                  <c:v>15.483000000000001</c:v>
                </c:pt>
                <c:pt idx="2">
                  <c:v>24.292000000000002</c:v>
                </c:pt>
                <c:pt idx="3">
                  <c:v>18.516999999999999</c:v>
                </c:pt>
                <c:pt idx="4">
                  <c:v>17.818000000000001</c:v>
                </c:pt>
                <c:pt idx="5">
                  <c:v>27.952000000000002</c:v>
                </c:pt>
                <c:pt idx="6">
                  <c:v>22.262</c:v>
                </c:pt>
                <c:pt idx="7">
                  <c:v>18.63</c:v>
                </c:pt>
                <c:pt idx="8">
                  <c:v>24.016999999999999</c:v>
                </c:pt>
                <c:pt idx="9">
                  <c:v>20.456000000000003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77376"/>
        <c:axId val="132279296"/>
      </c:scatterChart>
      <c:valAx>
        <c:axId val="132277376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0">
                <a:latin typeface="Arial Rounded MT Bold" panose="020F0704030504030204" pitchFamily="34" charset="0"/>
              </a:defRPr>
            </a:pPr>
            <a:endParaRPr lang="en-US"/>
          </a:p>
        </c:txPr>
        <c:crossAx val="132279296"/>
        <c:crosses val="autoZero"/>
        <c:crossBetween val="midCat"/>
        <c:majorUnit val="7"/>
        <c:minorUnit val="3.5"/>
      </c:valAx>
      <c:valAx>
        <c:axId val="132279296"/>
        <c:scaling>
          <c:orientation val="minMax"/>
          <c:max val="29"/>
          <c:min val="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 b="0">
                <a:latin typeface="Arial Rounded MT Bold" panose="020F0704030504030204" pitchFamily="34" charset="0"/>
              </a:defRPr>
            </a:pPr>
            <a:endParaRPr lang="en-US"/>
          </a:p>
        </c:txPr>
        <c:crossAx val="132277376"/>
        <c:crosses val="autoZero"/>
        <c:crossBetween val="midCat"/>
        <c:majorUnit val="3"/>
      </c:valAx>
    </c:plotArea>
    <c:legend>
      <c:legendPos val="r"/>
      <c:layout>
        <c:manualLayout>
          <c:xMode val="edge"/>
          <c:yMode val="edge"/>
          <c:x val="0.63471601049180393"/>
          <c:y val="0.43631792313089579"/>
          <c:w val="0.35182743260429333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 s descarte'!$B$3</c:f>
              <c:strCache>
                <c:ptCount val="1"/>
                <c:pt idx="0">
                  <c:v>Desvio de Allan (I_1 = 1 mA,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6.7171664640979845E-2"/>
                  <c:y val="0.29225955666432785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0,017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+ 1,196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 mA s descarte'!$C$2:$L$2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 mA s descarte'!$C$3:$L$3</c:f>
              <c:numCache>
                <c:formatCode>0.00</c:formatCode>
                <c:ptCount val="10"/>
                <c:pt idx="0">
                  <c:v>1.2994000000000001</c:v>
                </c:pt>
                <c:pt idx="1">
                  <c:v>1.5152000000000001</c:v>
                </c:pt>
                <c:pt idx="2">
                  <c:v>1.3506</c:v>
                </c:pt>
                <c:pt idx="3">
                  <c:v>1.3574000000000002</c:v>
                </c:pt>
                <c:pt idx="4">
                  <c:v>1.4645000000000001</c:v>
                </c:pt>
                <c:pt idx="5">
                  <c:v>1.8406</c:v>
                </c:pt>
                <c:pt idx="6">
                  <c:v>2.7906</c:v>
                </c:pt>
                <c:pt idx="7">
                  <c:v>1.8714</c:v>
                </c:pt>
                <c:pt idx="8">
                  <c:v>2.1614</c:v>
                </c:pt>
                <c:pt idx="9">
                  <c:v>2.1203999999999996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60288"/>
        <c:axId val="132062208"/>
      </c:scatterChart>
      <c:valAx>
        <c:axId val="132060288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062208"/>
        <c:crosses val="autoZero"/>
        <c:crossBetween val="midCat"/>
        <c:majorUnit val="7"/>
        <c:minorUnit val="3.5"/>
      </c:valAx>
      <c:valAx>
        <c:axId val="132062208"/>
        <c:scaling>
          <c:orientation val="minMax"/>
          <c:max val="2.8499999999999996"/>
          <c:min val="1.100000000000000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060288"/>
        <c:crosses val="autoZero"/>
        <c:crossBetween val="midCat"/>
        <c:majorUnit val="0.25"/>
      </c:valAx>
    </c:plotArea>
    <c:legend>
      <c:legendPos val="r"/>
      <c:layout>
        <c:manualLayout>
          <c:xMode val="edge"/>
          <c:yMode val="edge"/>
          <c:x val="0.63223755547318561"/>
          <c:y val="0.43631792313089579"/>
          <c:w val="0.36620701080360191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1 mA s descarte'!$B$9</c:f>
              <c:strCache>
                <c:ptCount val="1"/>
                <c:pt idx="0">
                  <c:v>Desvio de Allan (I_1 = 1 mA,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1.9416327706116669E-2"/>
                  <c:y val="-4.1006990462825813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0,011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+ 0,515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1 mA s descarte'!$C$8:$L$8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1 mA s descarte'!$C$9:$L$9</c:f>
              <c:numCache>
                <c:formatCode>0.00</c:formatCode>
                <c:ptCount val="10"/>
                <c:pt idx="0">
                  <c:v>0.80539000000000005</c:v>
                </c:pt>
                <c:pt idx="1">
                  <c:v>0.62700999999999996</c:v>
                </c:pt>
                <c:pt idx="2">
                  <c:v>0.62780000000000002</c:v>
                </c:pt>
                <c:pt idx="3">
                  <c:v>0.84714</c:v>
                </c:pt>
                <c:pt idx="4">
                  <c:v>0.48719000000000007</c:v>
                </c:pt>
                <c:pt idx="5">
                  <c:v>1.1437000000000002</c:v>
                </c:pt>
                <c:pt idx="6">
                  <c:v>0.72580999999999996</c:v>
                </c:pt>
                <c:pt idx="7">
                  <c:v>1.0609</c:v>
                </c:pt>
                <c:pt idx="8">
                  <c:v>0.82919999999999994</c:v>
                </c:pt>
                <c:pt idx="9">
                  <c:v>1.7516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04192"/>
        <c:axId val="132106112"/>
      </c:scatterChart>
      <c:valAx>
        <c:axId val="132104192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106112"/>
        <c:crosses val="autoZero"/>
        <c:crossBetween val="midCat"/>
        <c:majorUnit val="7"/>
        <c:minorUnit val="3.5"/>
      </c:valAx>
      <c:valAx>
        <c:axId val="132106112"/>
        <c:scaling>
          <c:orientation val="minMax"/>
          <c:max val="1.8"/>
          <c:min val="0.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104192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64242628672368141"/>
          <c:y val="0.43631792313089579"/>
          <c:w val="0.34565921161879132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300 uA s descarte'!$B$3</c:f>
              <c:strCache>
                <c:ptCount val="1"/>
                <c:pt idx="0">
                  <c:v>Desvio de Allan (I_1 = 300 uA, tau = 20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0.2578632363758292"/>
                  <c:y val="-3.2017099347730046E-2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0,00064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+ 1,16488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300 uA s descarte'!$C$2:$L$2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300 uA s descarte'!$C$3:$L$3</c:f>
              <c:numCache>
                <c:formatCode>0.00</c:formatCode>
                <c:ptCount val="10"/>
                <c:pt idx="0">
                  <c:v>0.86825999999999992</c:v>
                </c:pt>
                <c:pt idx="1">
                  <c:v>1.5247999999999999</c:v>
                </c:pt>
                <c:pt idx="2">
                  <c:v>0.69862999999999997</c:v>
                </c:pt>
                <c:pt idx="3">
                  <c:v>0.78645999999999994</c:v>
                </c:pt>
                <c:pt idx="4">
                  <c:v>2.5337000000000001</c:v>
                </c:pt>
                <c:pt idx="5">
                  <c:v>1.1187</c:v>
                </c:pt>
                <c:pt idx="6">
                  <c:v>1.1547000000000001</c:v>
                </c:pt>
                <c:pt idx="7">
                  <c:v>0.96628999999999998</c:v>
                </c:pt>
                <c:pt idx="8">
                  <c:v>0.88751999999999998</c:v>
                </c:pt>
                <c:pt idx="9">
                  <c:v>1.3307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22656"/>
        <c:axId val="132441216"/>
      </c:scatterChart>
      <c:valAx>
        <c:axId val="132422656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441216"/>
        <c:crosses val="autoZero"/>
        <c:crossBetween val="midCat"/>
        <c:majorUnit val="7"/>
        <c:minorUnit val="3.5"/>
      </c:valAx>
      <c:valAx>
        <c:axId val="132441216"/>
        <c:scaling>
          <c:orientation val="minMax"/>
          <c:max val="2.6"/>
          <c:min val="0.60000000000000009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422656"/>
        <c:crosses val="autoZero"/>
        <c:crossBetween val="midCat"/>
        <c:majorUnit val="0.25"/>
      </c:valAx>
    </c:plotArea>
    <c:legend>
      <c:legendPos val="r"/>
      <c:layout>
        <c:manualLayout>
          <c:xMode val="edge"/>
          <c:yMode val="edge"/>
          <c:x val="0.6273560048262008"/>
          <c:y val="0.43961825316389908"/>
          <c:w val="0.37108856145058672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'Estabilidade 300 uA s descarte'!$B$9</c:f>
              <c:strCache>
                <c:ptCount val="1"/>
                <c:pt idx="0">
                  <c:v>Desvio de Allan (I_1 = 300 uA, tau = 99 s)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w="15875">
                <a:solidFill>
                  <a:srgbClr val="FF0000"/>
                </a:solidFill>
              </a:ln>
            </c:spPr>
          </c:marker>
          <c:trendline>
            <c:name>Regressão linear (Desvio de Allan)</c:name>
            <c:spPr>
              <a:ln w="19050">
                <a:prstDash val="lgDash"/>
              </a:ln>
            </c:spPr>
            <c:trendlineType val="linear"/>
            <c:dispRSqr val="0"/>
            <c:dispEq val="1"/>
            <c:trendlineLbl>
              <c:layout>
                <c:manualLayout>
                  <c:x val="-7.7734155018078475E-3"/>
                  <c:y val="-0.12589589667628179"/>
                </c:manualLayout>
              </c:layout>
              <c:tx>
                <c:rich>
                  <a:bodyPr/>
                  <a:lstStyle/>
                  <a:p>
                    <a:pPr>
                      <a:defRPr sz="1200">
                        <a:latin typeface="Arial Rounded MT Bold" panose="020F0704030504030204" pitchFamily="34" charset="0"/>
                      </a:defRPr>
                    </a:pP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y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= -0,0063</a:t>
                    </a:r>
                    <a:r>
                      <a:rPr lang="en-US" sz="1200" i="1" baseline="0">
                        <a:latin typeface="Arial Rounded MT Bold" panose="020F0704030504030204" pitchFamily="34" charset="0"/>
                      </a:rPr>
                      <a:t>x</a:t>
                    </a:r>
                    <a:r>
                      <a:rPr lang="en-US" sz="1200" baseline="0">
                        <a:latin typeface="Arial Rounded MT Bold" panose="020F0704030504030204" pitchFamily="34" charset="0"/>
                      </a:rPr>
                      <a:t> + 0,8390</a:t>
                    </a:r>
                    <a:endParaRPr lang="en-US" sz="1200">
                      <a:latin typeface="Arial Rounded MT Bold" panose="020F0704030504030204" pitchFamily="34" charset="0"/>
                    </a:endParaRPr>
                  </a:p>
                </c:rich>
              </c:tx>
              <c:numFmt formatCode="#,##0.0000" sourceLinked="0"/>
              <c:spPr>
                <a:solidFill>
                  <a:schemeClr val="bg1"/>
                </a:solidFill>
              </c:spPr>
            </c:trendlineLbl>
          </c:trendline>
          <c:xVal>
            <c:numRef>
              <c:f>'Estabilidade 300 uA s descarte'!$C$8:$L$8</c:f>
              <c:numCache>
                <c:formatCode>General</c:formatCode>
                <c:ptCount val="10"/>
                <c:pt idx="0">
                  <c:v>3.45</c:v>
                </c:pt>
                <c:pt idx="1">
                  <c:v>10.350000000000001</c:v>
                </c:pt>
                <c:pt idx="2">
                  <c:v>17.25</c:v>
                </c:pt>
                <c:pt idx="3">
                  <c:v>24.15</c:v>
                </c:pt>
                <c:pt idx="4">
                  <c:v>31.049999999999997</c:v>
                </c:pt>
                <c:pt idx="5">
                  <c:v>37.949999999999996</c:v>
                </c:pt>
                <c:pt idx="6">
                  <c:v>44.849999999999994</c:v>
                </c:pt>
                <c:pt idx="7">
                  <c:v>51.749999999999993</c:v>
                </c:pt>
                <c:pt idx="8">
                  <c:v>58.649999999999991</c:v>
                </c:pt>
                <c:pt idx="9">
                  <c:v>65.55</c:v>
                </c:pt>
              </c:numCache>
            </c:numRef>
          </c:xVal>
          <c:yVal>
            <c:numRef>
              <c:f>'Estabilidade 300 uA s descarte'!$C$9:$L$9</c:f>
              <c:numCache>
                <c:formatCode>0.00</c:formatCode>
                <c:ptCount val="10"/>
                <c:pt idx="0">
                  <c:v>0.45378000000000002</c:v>
                </c:pt>
                <c:pt idx="1">
                  <c:v>0.98033000000000003</c:v>
                </c:pt>
                <c:pt idx="2">
                  <c:v>0.45235999999999998</c:v>
                </c:pt>
                <c:pt idx="3">
                  <c:v>0.63966000000000001</c:v>
                </c:pt>
                <c:pt idx="4">
                  <c:v>1.6984000000000001</c:v>
                </c:pt>
                <c:pt idx="5">
                  <c:v>0.47693000000000002</c:v>
                </c:pt>
                <c:pt idx="6">
                  <c:v>0.31669999999999998</c:v>
                </c:pt>
                <c:pt idx="7">
                  <c:v>0.43179000000000001</c:v>
                </c:pt>
                <c:pt idx="8">
                  <c:v>0.42266999999999999</c:v>
                </c:pt>
                <c:pt idx="9">
                  <c:v>0.34642000000000001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80256"/>
        <c:axId val="132890624"/>
      </c:scatterChart>
      <c:valAx>
        <c:axId val="132880256"/>
        <c:scaling>
          <c:orientation val="minMax"/>
          <c:max val="70"/>
          <c:min val="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Tempo (min)</a:t>
                </a:r>
              </a:p>
            </c:rich>
          </c:tx>
          <c:layout>
            <c:manualLayout>
              <c:xMode val="edge"/>
              <c:yMode val="edge"/>
              <c:x val="0.32422633794104871"/>
              <c:y val="0.9160726072607260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890624"/>
        <c:crosses val="autoZero"/>
        <c:crossBetween val="midCat"/>
        <c:majorUnit val="7"/>
        <c:minorUnit val="3.5"/>
      </c:valAx>
      <c:valAx>
        <c:axId val="132890624"/>
        <c:scaling>
          <c:orientation val="minMax"/>
          <c:max val="1.8"/>
          <c:min val="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 b="0">
                    <a:latin typeface="Arial Rounded MT Bold" panose="020F0704030504030204" pitchFamily="34" charset="0"/>
                  </a:defRPr>
                </a:pPr>
                <a:r>
                  <a:rPr lang="en-US" sz="1100" b="0">
                    <a:latin typeface="Arial Rounded MT Bold" panose="020F0704030504030204" pitchFamily="34" charset="0"/>
                  </a:rPr>
                  <a:t>Desvio de Allan (nA)</a:t>
                </a:r>
              </a:p>
            </c:rich>
          </c:tx>
          <c:layout>
            <c:manualLayout>
              <c:xMode val="edge"/>
              <c:yMode val="edge"/>
              <c:x val="1.1354421563745243E-2"/>
              <c:y val="0.2819664249889555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Arial Rounded MT Bold" panose="020F0704030504030204" pitchFamily="34" charset="0"/>
              </a:defRPr>
            </a:pPr>
            <a:endParaRPr lang="en-US"/>
          </a:p>
        </c:txPr>
        <c:crossAx val="132880256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63317395524542841"/>
          <c:y val="0.42311660299888254"/>
          <c:w val="0.35336948785066885"/>
          <c:h val="0.12736415373820847"/>
        </c:manualLayout>
      </c:layout>
      <c:overlay val="0"/>
      <c:txPr>
        <a:bodyPr/>
        <a:lstStyle/>
        <a:p>
          <a:pPr>
            <a:defRPr sz="1000" b="0">
              <a:latin typeface="Arial Rounded MT Bold" panose="020F07040305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18</xdr:row>
      <xdr:rowOff>0</xdr:rowOff>
    </xdr:from>
    <xdr:ext cx="6445297" cy="2710045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3657600"/>
          <a:ext cx="6445297" cy="271004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24</xdr:col>
      <xdr:colOff>301672</xdr:colOff>
      <xdr:row>32</xdr:row>
      <xdr:rowOff>43045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3657600"/>
          <a:ext cx="6445297" cy="2710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24</xdr:col>
      <xdr:colOff>301672</xdr:colOff>
      <xdr:row>32</xdr:row>
      <xdr:rowOff>43045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3657600"/>
          <a:ext cx="6445297" cy="2710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24</xdr:col>
      <xdr:colOff>301672</xdr:colOff>
      <xdr:row>32</xdr:row>
      <xdr:rowOff>43045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3657600"/>
          <a:ext cx="6445297" cy="27100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326718</xdr:colOff>
      <xdr:row>1</xdr:row>
      <xdr:rowOff>171450</xdr:rowOff>
    </xdr:from>
    <xdr:to>
      <xdr:col>16</xdr:col>
      <xdr:colOff>151131</xdr:colOff>
      <xdr:row>16</xdr:row>
      <xdr:rowOff>113280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2718" y="361950"/>
          <a:ext cx="3482013" cy="2799330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2</xdr:row>
      <xdr:rowOff>104775</xdr:rowOff>
    </xdr:from>
    <xdr:to>
      <xdr:col>9</xdr:col>
      <xdr:colOff>485775</xdr:colOff>
      <xdr:row>6</xdr:row>
      <xdr:rowOff>57150</xdr:rowOff>
    </xdr:to>
    <xdr:sp macro="" textlink="">
      <xdr:nvSpPr>
        <xdr:cNvPr id="3" name="TextBox 2"/>
        <xdr:cNvSpPr txBox="1"/>
      </xdr:nvSpPr>
      <xdr:spPr>
        <a:xfrm>
          <a:off x="4419600" y="485775"/>
          <a:ext cx="1552575" cy="7143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Trecho</a:t>
          </a:r>
          <a:r>
            <a:rPr lang="en-US" sz="1100" b="1" baseline="0"/>
            <a:t> interessante para explicar a mudança aos revisores</a:t>
          </a:r>
          <a:endParaRPr lang="en-US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1</xdr:row>
      <xdr:rowOff>114300</xdr:rowOff>
    </xdr:from>
    <xdr:to>
      <xdr:col>21</xdr:col>
      <xdr:colOff>581428</xdr:colOff>
      <xdr:row>16</xdr:row>
      <xdr:rowOff>171857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8325" y="533400"/>
          <a:ext cx="2886478" cy="2915057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24</xdr:col>
      <xdr:colOff>301672</xdr:colOff>
      <xdr:row>32</xdr:row>
      <xdr:rowOff>43045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96475" y="3657600"/>
          <a:ext cx="6445297" cy="27100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612322</xdr:colOff>
      <xdr:row>56</xdr:row>
      <xdr:rowOff>85271</xdr:rowOff>
    </xdr:from>
    <xdr:to>
      <xdr:col>11</xdr:col>
      <xdr:colOff>419100</xdr:colOff>
      <xdr:row>63</xdr:row>
      <xdr:rowOff>169689</xdr:rowOff>
    </xdr:to>
    <xdr:sp macro="" textlink="">
      <xdr:nvSpPr>
        <xdr:cNvPr id="4" name="TextBox 3"/>
        <xdr:cNvSpPr txBox="1"/>
      </xdr:nvSpPr>
      <xdr:spPr>
        <a:xfrm>
          <a:off x="5012872" y="10619921"/>
          <a:ext cx="3521528" cy="1417918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u="sng">
              <a:latin typeface="Arial Rounded MT Bold" panose="020F0704030504030204" pitchFamily="34" charset="0"/>
            </a:rPr>
            <a:t>MAD:</a:t>
          </a:r>
        </a:p>
        <a:p>
          <a:r>
            <a:rPr lang="en-US" sz="1000" b="0">
              <a:latin typeface="Arial Rounded MT Bold" panose="020F0704030504030204" pitchFamily="34" charset="0"/>
            </a:rPr>
            <a:t>pnorm(4) → define o nível de probabilidade associado ao limiar de corte.</a:t>
          </a:r>
        </a:p>
        <a:p>
          <a:r>
            <a:rPr lang="en-US" sz="1000" b="0">
              <a:latin typeface="Arial Rounded MT Bold" panose="020F0704030504030204" pitchFamily="34" charset="0"/>
            </a:rPr>
            <a:t>pnorm(4) retorna a probabilidade acumulada da normal padrão até z = 4 (0.9999683)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>
              <a:latin typeface="Arial Rounded MT Bold" panose="020F0704030504030204" pitchFamily="34" charset="0"/>
            </a:rPr>
            <a:t>Isso significa que você está escolhendo um threshold bastante conservador: só valores extremamente distantes da mediana serão marcados como outliers  (mais de 4 desvios robustos da mediana).</a:t>
          </a:r>
        </a:p>
        <a:p>
          <a:endParaRPr lang="en-US" sz="1000" b="0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5</xdr:col>
      <xdr:colOff>44823</xdr:colOff>
      <xdr:row>60</xdr:row>
      <xdr:rowOff>32230</xdr:rowOff>
    </xdr:from>
    <xdr:to>
      <xdr:col>5</xdr:col>
      <xdr:colOff>612322</xdr:colOff>
      <xdr:row>60</xdr:row>
      <xdr:rowOff>112059</xdr:rowOff>
    </xdr:to>
    <xdr:cxnSp macro="">
      <xdr:nvCxnSpPr>
        <xdr:cNvPr id="5" name="Straight Arrow Connector 4"/>
        <xdr:cNvCxnSpPr>
          <a:stCxn id="4" idx="1"/>
        </xdr:cNvCxnSpPr>
      </xdr:nvCxnSpPr>
      <xdr:spPr>
        <a:xfrm flipH="1">
          <a:off x="4437529" y="11350171"/>
          <a:ext cx="567499" cy="79829"/>
        </a:xfrm>
        <a:prstGeom prst="straightConnector1">
          <a:avLst/>
        </a:prstGeom>
        <a:ln w="952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</xdr:colOff>
      <xdr:row>63</xdr:row>
      <xdr:rowOff>190499</xdr:rowOff>
    </xdr:from>
    <xdr:to>
      <xdr:col>13</xdr:col>
      <xdr:colOff>0</xdr:colOff>
      <xdr:row>87</xdr:row>
      <xdr:rowOff>59566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12079940"/>
          <a:ext cx="9031941" cy="44410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14</xdr:row>
      <xdr:rowOff>123825</xdr:rowOff>
    </xdr:from>
    <xdr:to>
      <xdr:col>10</xdr:col>
      <xdr:colOff>523874</xdr:colOff>
      <xdr:row>34</xdr:row>
      <xdr:rowOff>161925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609600</xdr:colOff>
      <xdr:row>14</xdr:row>
      <xdr:rowOff>133350</xdr:rowOff>
    </xdr:from>
    <xdr:to>
      <xdr:col>23</xdr:col>
      <xdr:colOff>104774</xdr:colOff>
      <xdr:row>34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67236</xdr:colOff>
      <xdr:row>57</xdr:row>
      <xdr:rowOff>55816</xdr:rowOff>
    </xdr:from>
    <xdr:to>
      <xdr:col>23</xdr:col>
      <xdr:colOff>35218</xdr:colOff>
      <xdr:row>60</xdr:row>
      <xdr:rowOff>100853</xdr:rowOff>
    </xdr:to>
    <xdr:cxnSp macro="">
      <xdr:nvCxnSpPr>
        <xdr:cNvPr id="6" name="Straight Arrow Connector 5"/>
        <xdr:cNvCxnSpPr>
          <a:stCxn id="25" idx="1"/>
        </xdr:cNvCxnSpPr>
      </xdr:nvCxnSpPr>
      <xdr:spPr>
        <a:xfrm flipH="1">
          <a:off x="12808324" y="10802257"/>
          <a:ext cx="3441806" cy="616537"/>
        </a:xfrm>
        <a:prstGeom prst="straightConnector1">
          <a:avLst/>
        </a:prstGeom>
        <a:ln w="9525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35218</xdr:colOff>
      <xdr:row>53</xdr:row>
      <xdr:rowOff>108857</xdr:rowOff>
    </xdr:from>
    <xdr:to>
      <xdr:col>32</xdr:col>
      <xdr:colOff>383080</xdr:colOff>
      <xdr:row>61</xdr:row>
      <xdr:rowOff>2775</xdr:rowOff>
    </xdr:to>
    <xdr:sp macro="" textlink="">
      <xdr:nvSpPr>
        <xdr:cNvPr id="25" name="TextBox 24"/>
        <xdr:cNvSpPr txBox="1"/>
      </xdr:nvSpPr>
      <xdr:spPr>
        <a:xfrm>
          <a:off x="16404611" y="10096500"/>
          <a:ext cx="3504719" cy="1417918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u="sng">
              <a:latin typeface="Arial Rounded MT Bold" panose="020F0704030504030204" pitchFamily="34" charset="0"/>
            </a:rPr>
            <a:t>MAD:</a:t>
          </a:r>
        </a:p>
        <a:p>
          <a:r>
            <a:rPr lang="en-US" sz="1000" b="0">
              <a:latin typeface="Arial Rounded MT Bold" panose="020F0704030504030204" pitchFamily="34" charset="0"/>
            </a:rPr>
            <a:t>pnorm(4) → define o nível de probabilidade associado ao limiar de corte.</a:t>
          </a:r>
        </a:p>
        <a:p>
          <a:r>
            <a:rPr lang="en-US" sz="1000" b="0">
              <a:latin typeface="Arial Rounded MT Bold" panose="020F0704030504030204" pitchFamily="34" charset="0"/>
            </a:rPr>
            <a:t>pnorm(4) retorna a probabilidade acumulada da normal padrão até z = 4 (0.9999683)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>
              <a:latin typeface="Arial Rounded MT Bold" panose="020F0704030504030204" pitchFamily="34" charset="0"/>
            </a:rPr>
            <a:t>Isso significa que você está escolhendo um threshold bastante conservador: só valores extremamente distantes da mediana serão marcados como outliers  (mais de 4 desvios robustos da mediana).</a:t>
          </a:r>
        </a:p>
        <a:p>
          <a:endParaRPr lang="en-US" sz="1000" b="0">
            <a:latin typeface="Arial Rounded MT Bold" panose="020F0704030504030204" pitchFamily="34" charset="0"/>
          </a:endParaRPr>
        </a:p>
      </xdr:txBody>
    </xdr:sp>
    <xdr:clientData/>
  </xdr:twoCellAnchor>
  <xdr:twoCellAnchor editAs="oneCell">
    <xdr:from>
      <xdr:col>1</xdr:col>
      <xdr:colOff>11206</xdr:colOff>
      <xdr:row>64</xdr:row>
      <xdr:rowOff>89648</xdr:rowOff>
    </xdr:from>
    <xdr:to>
      <xdr:col>13</xdr:col>
      <xdr:colOff>0</xdr:colOff>
      <xdr:row>87</xdr:row>
      <xdr:rowOff>66564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" y="12169589"/>
          <a:ext cx="9020736" cy="435841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64</xdr:row>
      <xdr:rowOff>0</xdr:rowOff>
    </xdr:from>
    <xdr:to>
      <xdr:col>27</xdr:col>
      <xdr:colOff>286870</xdr:colOff>
      <xdr:row>89</xdr:row>
      <xdr:rowOff>183283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9676" y="12079941"/>
          <a:ext cx="10058400" cy="49457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88"/>
  <sheetViews>
    <sheetView zoomScaleNormal="100" workbookViewId="0"/>
  </sheetViews>
  <sheetFormatPr defaultRowHeight="15" x14ac:dyDescent="0.25"/>
  <cols>
    <col min="1" max="1" width="14.85546875" style="5" customWidth="1"/>
    <col min="2" max="10" width="8.42578125" style="5" bestFit="1" customWidth="1"/>
    <col min="11" max="11" width="9.42578125" style="5" bestFit="1" customWidth="1"/>
    <col min="12" max="14" width="9.140625" style="5"/>
    <col min="15" max="15" width="20.85546875" style="5" bestFit="1" customWidth="1"/>
    <col min="16" max="16" width="17.140625" style="5" customWidth="1"/>
    <col min="17" max="17" width="9.140625" style="5"/>
    <col min="18" max="18" width="11.85546875" style="5" customWidth="1"/>
    <col min="19" max="19" width="8.28515625" style="5" bestFit="1" customWidth="1"/>
    <col min="20" max="16384" width="9.140625" style="5"/>
  </cols>
  <sheetData>
    <row r="1" spans="1:22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51</v>
      </c>
      <c r="Q1" s="4">
        <f>0.00000001*12^(-0.5)</f>
        <v>2.8867513459481292E-9</v>
      </c>
      <c r="R1" s="1" t="s">
        <v>52</v>
      </c>
      <c r="S1" s="6">
        <v>1E-8</v>
      </c>
      <c r="T1" s="6"/>
      <c r="U1" s="6"/>
      <c r="V1" s="6"/>
    </row>
    <row r="2" spans="1:22" x14ac:dyDescent="0.25">
      <c r="A2" s="5">
        <v>1</v>
      </c>
      <c r="B2" s="6">
        <f>Plan11!$G11</f>
        <v>5.9154000000000001E-7</v>
      </c>
      <c r="C2" s="6">
        <f>Plan12!$G11</f>
        <v>5.3959999999999999E-7</v>
      </c>
      <c r="D2" s="6">
        <f>Plan13!$G11</f>
        <v>5.7637000000000002E-7</v>
      </c>
      <c r="E2" s="6">
        <f>Plan14!$G11</f>
        <v>5.6141E-7</v>
      </c>
      <c r="F2" s="6">
        <f>Plan15!$G11</f>
        <v>5.7502999999999998E-7</v>
      </c>
      <c r="G2" s="6">
        <f>Plan16!$G11</f>
        <v>5.9694999999999996E-7</v>
      </c>
      <c r="H2" s="6">
        <f>Plan17!$G11</f>
        <v>5.9699E-7</v>
      </c>
      <c r="I2" s="6">
        <f>Plan18!$G11</f>
        <v>6.1829999999999997E-7</v>
      </c>
      <c r="J2" s="6">
        <f>Plan19!$G11</f>
        <v>6.0383999999999999E-7</v>
      </c>
      <c r="K2" s="6">
        <f>Plan20!$G11</f>
        <v>5.8291999999999998E-7</v>
      </c>
      <c r="L2" s="7">
        <f>AVERAGE(B2:K2)</f>
        <v>5.8429499999999993E-7</v>
      </c>
      <c r="M2" s="6">
        <f>L2-O2</f>
        <v>5.6815043752056719E-7</v>
      </c>
      <c r="N2" s="6">
        <f t="shared" ref="N2:N65" si="0">L2+O2</f>
        <v>6.0043956247943266E-7</v>
      </c>
      <c r="O2" s="6">
        <f>_xlfn.CONFIDENCE.T(0.05,_xlfn.STDEV.S(B2:K2),COUNTA(B2:K2))</f>
        <v>1.6144562479432685E-8</v>
      </c>
    </row>
    <row r="3" spans="1:22" x14ac:dyDescent="0.25">
      <c r="A3" s="5">
        <v>2</v>
      </c>
      <c r="B3" s="6">
        <f>Plan11!$G12</f>
        <v>3.4555999999999998E-7</v>
      </c>
      <c r="C3" s="6">
        <f>Plan12!$G12</f>
        <v>3.2511999999999999E-7</v>
      </c>
      <c r="D3" s="6">
        <f>Plan13!$G12</f>
        <v>3.2921000000000002E-7</v>
      </c>
      <c r="E3" s="6">
        <f>Plan14!$G12</f>
        <v>3.2249000000000002E-7</v>
      </c>
      <c r="F3" s="6">
        <f>Plan15!$G12</f>
        <v>3.2361000000000002E-7</v>
      </c>
      <c r="G3" s="6">
        <f>Plan16!$G12</f>
        <v>3.3995000000000002E-7</v>
      </c>
      <c r="H3" s="6">
        <f>Plan17!$G12</f>
        <v>3.5488000000000001E-7</v>
      </c>
      <c r="I3" s="6">
        <f>Plan18!$G12</f>
        <v>3.5185000000000002E-7</v>
      </c>
      <c r="J3" s="6">
        <f>Plan19!$G12</f>
        <v>3.5096000000000001E-7</v>
      </c>
      <c r="K3" s="6">
        <f>Plan20!$G12</f>
        <v>3.3901999999999997E-7</v>
      </c>
      <c r="L3" s="7">
        <f>AVERAGE(B3:K3)</f>
        <v>3.3826499999999999E-7</v>
      </c>
      <c r="M3" s="6">
        <f t="shared" ref="M3:M66" si="1">L3-O3</f>
        <v>3.2935312330547329E-7</v>
      </c>
      <c r="N3" s="6">
        <f t="shared" si="0"/>
        <v>3.4717687669452669E-7</v>
      </c>
      <c r="O3" s="6">
        <f t="shared" ref="O3:O66" si="2">_xlfn.CONFIDENCE.T(0.05,_xlfn.STDEV.S(B3:K3),COUNTA(B3:K3))</f>
        <v>8.9118766945266942E-9</v>
      </c>
    </row>
    <row r="4" spans="1:22" x14ac:dyDescent="0.25">
      <c r="A4" s="5">
        <v>3</v>
      </c>
      <c r="B4" s="6">
        <f>Plan11!$G13</f>
        <v>1.7819999999999999E-7</v>
      </c>
      <c r="C4" s="6">
        <f>Plan12!$G13</f>
        <v>1.727E-7</v>
      </c>
      <c r="D4" s="6">
        <f>Plan13!$G13</f>
        <v>1.6360999999999999E-7</v>
      </c>
      <c r="E4" s="6">
        <f>Plan14!$G13</f>
        <v>1.5767999999999999E-7</v>
      </c>
      <c r="F4" s="6">
        <f>Plan15!$G13</f>
        <v>1.6152999999999999E-7</v>
      </c>
      <c r="G4" s="6">
        <f>Plan16!$G13</f>
        <v>1.6609E-7</v>
      </c>
      <c r="H4" s="6">
        <f>Plan17!$G13</f>
        <v>1.8766E-7</v>
      </c>
      <c r="I4" s="6">
        <f>Plan18!$G13</f>
        <v>1.7436000000000001E-7</v>
      </c>
      <c r="J4" s="6">
        <f>Plan19!$G13</f>
        <v>1.7182000000000001E-7</v>
      </c>
      <c r="K4" s="6">
        <f>Plan20!$G13</f>
        <v>1.6717000000000001E-7</v>
      </c>
      <c r="L4" s="7">
        <f>AVERAGE(B4:K4)</f>
        <v>1.7008199999999997E-7</v>
      </c>
      <c r="M4" s="6">
        <f t="shared" si="1"/>
        <v>1.6378978293420123E-7</v>
      </c>
      <c r="N4" s="6">
        <f t="shared" si="0"/>
        <v>1.7637421706579872E-7</v>
      </c>
      <c r="O4" s="6">
        <f t="shared" si="2"/>
        <v>6.2922170657987352E-9</v>
      </c>
    </row>
    <row r="5" spans="1:22" x14ac:dyDescent="0.25">
      <c r="A5" s="5">
        <v>4</v>
      </c>
      <c r="B5" s="6">
        <f>Plan11!$G14</f>
        <v>1.7863999999999999E-7</v>
      </c>
      <c r="C5" s="6">
        <f>Plan12!$G14</f>
        <v>1.7407E-7</v>
      </c>
      <c r="D5" s="6">
        <f>Plan13!$G14</f>
        <v>1.7527999999999999E-7</v>
      </c>
      <c r="E5" s="6">
        <f>Plan14!$G14</f>
        <v>1.6554000000000001E-7</v>
      </c>
      <c r="F5" s="6">
        <f>Plan15!$G14</f>
        <v>1.7611000000000001E-7</v>
      </c>
      <c r="G5" s="6">
        <f>Plan16!$G14</f>
        <v>1.8043999999999999E-7</v>
      </c>
      <c r="H5" s="6">
        <f>Plan17!$G14</f>
        <v>1.8090000000000001E-7</v>
      </c>
      <c r="I5" s="6">
        <f>Plan18!$G14</f>
        <v>1.8895999999999999E-7</v>
      </c>
      <c r="J5" s="6">
        <f>Plan19!$G14</f>
        <v>1.8176999999999999E-7</v>
      </c>
      <c r="K5" s="6">
        <f>Plan20!$G14</f>
        <v>1.7744000000000001E-7</v>
      </c>
      <c r="L5" s="7">
        <f t="shared" ref="L5:L66" si="3">AVERAGE(B5:K5)</f>
        <v>1.7791499999999999E-7</v>
      </c>
      <c r="M5" s="6">
        <f t="shared" si="1"/>
        <v>1.7357663542306913E-7</v>
      </c>
      <c r="N5" s="6">
        <f t="shared" si="0"/>
        <v>1.8225336457693085E-7</v>
      </c>
      <c r="O5" s="6">
        <f t="shared" si="2"/>
        <v>4.338364576930856E-9</v>
      </c>
    </row>
    <row r="6" spans="1:22" x14ac:dyDescent="0.25">
      <c r="A6" s="5">
        <v>5</v>
      </c>
      <c r="B6" s="6">
        <f>Plan11!$G15</f>
        <v>1.6847E-7</v>
      </c>
      <c r="C6" s="6">
        <f>Plan12!$G15</f>
        <v>1.7347E-7</v>
      </c>
      <c r="D6" s="6">
        <f>Plan13!$G15</f>
        <v>1.7130000000000001E-7</v>
      </c>
      <c r="E6" s="6">
        <f>Plan14!$G15</f>
        <v>1.6222999999999999E-7</v>
      </c>
      <c r="F6" s="6">
        <f>Plan15!$G15</f>
        <v>1.7092E-7</v>
      </c>
      <c r="G6" s="6">
        <f>Plan16!$G15</f>
        <v>1.7636E-7</v>
      </c>
      <c r="H6" s="6">
        <f>Plan17!$G15</f>
        <v>1.7522999999999999E-7</v>
      </c>
      <c r="I6" s="6">
        <f>Plan18!$G15</f>
        <v>1.8085000000000001E-7</v>
      </c>
      <c r="J6" s="6">
        <f>Plan19!$G15</f>
        <v>1.7382E-7</v>
      </c>
      <c r="K6" s="6">
        <f>Plan20!$G15</f>
        <v>1.7578999999999999E-7</v>
      </c>
      <c r="L6" s="7">
        <f t="shared" si="3"/>
        <v>1.7284400000000001E-7</v>
      </c>
      <c r="M6" s="6">
        <f t="shared" si="1"/>
        <v>1.692273047078284E-7</v>
      </c>
      <c r="N6" s="6">
        <f t="shared" si="0"/>
        <v>1.7646069529217161E-7</v>
      </c>
      <c r="O6" s="6">
        <f t="shared" si="2"/>
        <v>3.6166952921716019E-9</v>
      </c>
    </row>
    <row r="7" spans="1:22" x14ac:dyDescent="0.25">
      <c r="A7" s="5">
        <v>6</v>
      </c>
      <c r="B7" s="6">
        <f>Plan11!$G16</f>
        <v>1.2172000000000001E-7</v>
      </c>
      <c r="C7" s="6">
        <f>Plan12!$G16</f>
        <v>1.2827E-7</v>
      </c>
      <c r="D7" s="6">
        <f>Plan13!$G16</f>
        <v>1.2349999999999999E-7</v>
      </c>
      <c r="E7" s="6">
        <f>Plan14!$G16</f>
        <v>1.2031E-7</v>
      </c>
      <c r="F7" s="6">
        <f>Plan15!$G16</f>
        <v>1.2921E-7</v>
      </c>
      <c r="G7" s="6">
        <f>Plan16!$G16</f>
        <v>1.2972E-7</v>
      </c>
      <c r="H7" s="6">
        <f>Plan17!$G16</f>
        <v>1.2464999999999999E-7</v>
      </c>
      <c r="I7" s="6">
        <f>Plan18!$G16</f>
        <v>1.3619999999999999E-7</v>
      </c>
      <c r="J7" s="6">
        <f>Plan19!$G16</f>
        <v>1.3346999999999999E-7</v>
      </c>
      <c r="K7" s="6">
        <f>Plan20!$G16</f>
        <v>1.3364E-7</v>
      </c>
      <c r="L7" s="7">
        <f t="shared" si="3"/>
        <v>1.2806899999999998E-7</v>
      </c>
      <c r="M7" s="6">
        <f t="shared" si="1"/>
        <v>1.2419853429904968E-7</v>
      </c>
      <c r="N7" s="6">
        <f t="shared" si="0"/>
        <v>1.3193946570095028E-7</v>
      </c>
      <c r="O7" s="6">
        <f t="shared" si="2"/>
        <v>3.8704657009502837E-9</v>
      </c>
    </row>
    <row r="8" spans="1:22" x14ac:dyDescent="0.25">
      <c r="A8" s="5">
        <v>7</v>
      </c>
      <c r="B8" s="6">
        <f>Plan11!$G17</f>
        <v>9.6563000000000002E-8</v>
      </c>
      <c r="C8" s="6">
        <f>Plan12!$G17</f>
        <v>9.5923000000000005E-8</v>
      </c>
      <c r="D8" s="6">
        <f>Plan13!$G17</f>
        <v>9.2413999999999996E-8</v>
      </c>
      <c r="E8" s="6">
        <f>Plan14!$G17</f>
        <v>9.9400000000000003E-8</v>
      </c>
      <c r="F8" s="6">
        <f>Plan15!$G17</f>
        <v>1.0344000000000001E-7</v>
      </c>
      <c r="G8" s="6">
        <f>Plan16!$G17</f>
        <v>1.0647E-7</v>
      </c>
      <c r="H8" s="6">
        <f>Plan17!$G17</f>
        <v>8.8364999999999997E-8</v>
      </c>
      <c r="I8" s="6">
        <f>Plan18!$G17</f>
        <v>1.1049000000000001E-7</v>
      </c>
      <c r="J8" s="6">
        <f>Plan19!$G17</f>
        <v>1.1828E-7</v>
      </c>
      <c r="K8" s="6">
        <f>Plan20!$G17</f>
        <v>1.1329E-7</v>
      </c>
      <c r="L8" s="7">
        <f t="shared" si="3"/>
        <v>1.024635E-7</v>
      </c>
      <c r="M8" s="6">
        <f t="shared" si="1"/>
        <v>9.5570849479487416E-8</v>
      </c>
      <c r="N8" s="6">
        <f t="shared" si="0"/>
        <v>1.0935615052051258E-7</v>
      </c>
      <c r="O8" s="6">
        <f t="shared" si="2"/>
        <v>6.8926505205125749E-9</v>
      </c>
    </row>
    <row r="9" spans="1:22" x14ac:dyDescent="0.25">
      <c r="A9" s="5">
        <v>8</v>
      </c>
      <c r="B9" s="6">
        <f>Plan11!$G18</f>
        <v>1.0913E-7</v>
      </c>
      <c r="C9" s="6">
        <f>Plan12!$G18</f>
        <v>1.0356E-7</v>
      </c>
      <c r="D9" s="6">
        <f>Plan13!$G18</f>
        <v>1.0613E-7</v>
      </c>
      <c r="E9" s="6">
        <f>Plan14!$G18</f>
        <v>1.1054E-7</v>
      </c>
      <c r="F9" s="6">
        <f>Plan15!$G18</f>
        <v>1.0771E-7</v>
      </c>
      <c r="G9" s="6">
        <f>Plan16!$G18</f>
        <v>1.1263E-7</v>
      </c>
      <c r="H9" s="6">
        <f>Plan17!$G18</f>
        <v>1.0125999999999999E-7</v>
      </c>
      <c r="I9" s="6">
        <f>Plan18!$G18</f>
        <v>1.1983999999999999E-7</v>
      </c>
      <c r="J9" s="6">
        <f>Plan19!$G18</f>
        <v>1.1668E-7</v>
      </c>
      <c r="K9" s="6">
        <f>Plan20!$G18</f>
        <v>1.2132999999999999E-7</v>
      </c>
      <c r="L9" s="7">
        <f t="shared" si="3"/>
        <v>1.1088099999999997E-7</v>
      </c>
      <c r="M9" s="6">
        <f t="shared" si="1"/>
        <v>1.0606389231941423E-7</v>
      </c>
      <c r="N9" s="6">
        <f t="shared" si="0"/>
        <v>1.1569810768058572E-7</v>
      </c>
      <c r="O9" s="6">
        <f t="shared" si="2"/>
        <v>4.8171076805857466E-9</v>
      </c>
    </row>
    <row r="10" spans="1:22" x14ac:dyDescent="0.25">
      <c r="A10" s="5">
        <v>9</v>
      </c>
      <c r="B10" s="6">
        <f>Plan11!$G19</f>
        <v>1.0035E-7</v>
      </c>
      <c r="C10" s="6">
        <f>Plan12!$G19</f>
        <v>9.1438000000000001E-8</v>
      </c>
      <c r="D10" s="6">
        <f>Plan13!$G19</f>
        <v>9.2789999999999999E-8</v>
      </c>
      <c r="E10" s="6">
        <f>Plan14!$G19</f>
        <v>1.016E-7</v>
      </c>
      <c r="F10" s="6">
        <f>Plan15!$G19</f>
        <v>9.1864999999999996E-8</v>
      </c>
      <c r="G10" s="6">
        <f>Plan16!$G19</f>
        <v>9.7977000000000004E-8</v>
      </c>
      <c r="H10" s="6">
        <f>Plan17!$G19</f>
        <v>8.8418000000000005E-8</v>
      </c>
      <c r="I10" s="6">
        <f>Plan18!$G19</f>
        <v>1.0714000000000001E-7</v>
      </c>
      <c r="J10" s="6">
        <f>Plan19!$G19</f>
        <v>1.0461E-7</v>
      </c>
      <c r="K10" s="6">
        <f>Plan20!$G19</f>
        <v>1.071E-7</v>
      </c>
      <c r="L10" s="7">
        <f t="shared" si="3"/>
        <v>9.8328800000000009E-8</v>
      </c>
      <c r="M10" s="6">
        <f t="shared" si="1"/>
        <v>9.3400846815599926E-8</v>
      </c>
      <c r="N10" s="6">
        <f t="shared" si="0"/>
        <v>1.0325675318440009E-7</v>
      </c>
      <c r="O10" s="6">
        <f t="shared" si="2"/>
        <v>4.9279531844000829E-9</v>
      </c>
    </row>
    <row r="11" spans="1:22" x14ac:dyDescent="0.25">
      <c r="A11" s="8">
        <v>10</v>
      </c>
      <c r="B11" s="6">
        <f>Plan11!$G20</f>
        <v>8.1869000000000003E-8</v>
      </c>
      <c r="C11" s="6">
        <f>Plan12!$G20</f>
        <v>7.1032999999999998E-8</v>
      </c>
      <c r="D11" s="6">
        <f>Plan13!$G20</f>
        <v>7.226E-8</v>
      </c>
      <c r="E11" s="6">
        <f>Plan14!$G20</f>
        <v>8.5832999999999998E-8</v>
      </c>
      <c r="F11" s="6">
        <f>Plan15!$G20</f>
        <v>7.0396000000000004E-8</v>
      </c>
      <c r="G11" s="6">
        <f>Plan16!$G20</f>
        <v>7.7421000000000002E-8</v>
      </c>
      <c r="H11" s="6">
        <f>Plan17!$G20</f>
        <v>6.5550000000000001E-8</v>
      </c>
      <c r="I11" s="6">
        <f>Plan18!$G20</f>
        <v>8.7009999999999996E-8</v>
      </c>
      <c r="J11" s="6">
        <f>Plan19!$G20</f>
        <v>9.2484999999999997E-8</v>
      </c>
      <c r="K11" s="6">
        <f>Plan20!$G20</f>
        <v>8.9442000000000001E-8</v>
      </c>
      <c r="L11" s="7">
        <f t="shared" si="3"/>
        <v>7.9329900000000004E-8</v>
      </c>
      <c r="M11" s="6">
        <f t="shared" si="1"/>
        <v>7.269081816580081E-8</v>
      </c>
      <c r="N11" s="6">
        <f t="shared" si="0"/>
        <v>8.5968981834199198E-8</v>
      </c>
      <c r="O11" s="6">
        <f t="shared" si="2"/>
        <v>6.6390818341991971E-9</v>
      </c>
    </row>
    <row r="12" spans="1:22" x14ac:dyDescent="0.25">
      <c r="A12" s="5">
        <v>11</v>
      </c>
      <c r="B12" s="6">
        <f>Plan11!$G21</f>
        <v>8.7599000000000002E-8</v>
      </c>
      <c r="C12" s="6">
        <f>Plan12!$G21</f>
        <v>7.5055999999999994E-8</v>
      </c>
      <c r="D12" s="6">
        <f>Plan13!$G21</f>
        <v>8.2050999999999998E-8</v>
      </c>
      <c r="E12" s="6">
        <f>Plan14!$G21</f>
        <v>8.9861E-8</v>
      </c>
      <c r="F12" s="6">
        <f>Plan15!$G21</f>
        <v>7.3767000000000001E-8</v>
      </c>
      <c r="G12" s="6">
        <f>Plan16!$G21</f>
        <v>8.3232E-8</v>
      </c>
      <c r="H12" s="6">
        <f>Plan17!$G21</f>
        <v>7.6306999999999996E-8</v>
      </c>
      <c r="I12" s="6">
        <f>Plan18!$G21</f>
        <v>9.4082999999999996E-8</v>
      </c>
      <c r="J12" s="6">
        <f>Plan19!$G21</f>
        <v>9.0565000000000004E-8</v>
      </c>
      <c r="K12" s="6">
        <f>Plan20!$G21</f>
        <v>9.1640000000000005E-8</v>
      </c>
      <c r="L12" s="7">
        <f t="shared" si="3"/>
        <v>8.4416100000000025E-8</v>
      </c>
      <c r="M12" s="6">
        <f t="shared" si="1"/>
        <v>7.9100225639533681E-8</v>
      </c>
      <c r="N12" s="6">
        <f t="shared" si="0"/>
        <v>8.9731974360466369E-8</v>
      </c>
      <c r="O12" s="6">
        <f t="shared" si="2"/>
        <v>5.3158743604663427E-9</v>
      </c>
    </row>
    <row r="13" spans="1:22" x14ac:dyDescent="0.25">
      <c r="A13" s="5">
        <v>12</v>
      </c>
      <c r="B13" s="6">
        <f>Plan11!$G22</f>
        <v>8.5464000000000003E-8</v>
      </c>
      <c r="C13" s="6">
        <f>Plan12!$G22</f>
        <v>7.5650999999999994E-8</v>
      </c>
      <c r="D13" s="6">
        <f>Plan13!$G22</f>
        <v>8.1117999999999999E-8</v>
      </c>
      <c r="E13" s="6">
        <f>Plan14!$G22</f>
        <v>8.7676999999999998E-8</v>
      </c>
      <c r="F13" s="6">
        <f>Plan15!$G22</f>
        <v>7.0502000000000005E-8</v>
      </c>
      <c r="G13" s="6">
        <f>Plan16!$G22</f>
        <v>8.2072999999999996E-8</v>
      </c>
      <c r="H13" s="6">
        <f>Plan17!$G22</f>
        <v>7.4947000000000003E-8</v>
      </c>
      <c r="I13" s="6">
        <f>Plan18!$G22</f>
        <v>9.3215000000000005E-8</v>
      </c>
      <c r="J13" s="6">
        <f>Plan19!$G22</f>
        <v>8.6168999999999996E-8</v>
      </c>
      <c r="K13" s="6">
        <f>Plan20!$G22</f>
        <v>8.5000999999999995E-8</v>
      </c>
      <c r="L13" s="7">
        <f t="shared" si="3"/>
        <v>8.2181699999999998E-8</v>
      </c>
      <c r="M13" s="6">
        <f t="shared" si="1"/>
        <v>7.7300108281882565E-8</v>
      </c>
      <c r="N13" s="6">
        <f t="shared" si="0"/>
        <v>8.7063291718117431E-8</v>
      </c>
      <c r="O13" s="6">
        <f t="shared" si="2"/>
        <v>4.8815917181174326E-9</v>
      </c>
    </row>
    <row r="14" spans="1:22" x14ac:dyDescent="0.25">
      <c r="A14" s="5">
        <v>13</v>
      </c>
      <c r="B14" s="6">
        <f>Plan11!$G23</f>
        <v>7.2219000000000006E-8</v>
      </c>
      <c r="C14" s="6">
        <f>Plan12!$G23</f>
        <v>6.3900999999999998E-8</v>
      </c>
      <c r="D14" s="6">
        <f>Plan13!$G23</f>
        <v>6.7309999999999999E-8</v>
      </c>
      <c r="E14" s="6">
        <f>Plan14!$G23</f>
        <v>7.6551999999999996E-8</v>
      </c>
      <c r="F14" s="6">
        <f>Plan15!$G23</f>
        <v>5.8344999999999997E-8</v>
      </c>
      <c r="G14" s="6">
        <f>Plan16!$G23</f>
        <v>6.9803999999999994E-8</v>
      </c>
      <c r="H14" s="6">
        <f>Plan17!$G23</f>
        <v>6.1704999999999996E-8</v>
      </c>
      <c r="I14" s="6">
        <f>Plan18!$G23</f>
        <v>8.1304999999999999E-8</v>
      </c>
      <c r="J14" s="6">
        <f>Plan19!$G23</f>
        <v>7.9950999999999999E-8</v>
      </c>
      <c r="K14" s="6">
        <f>Plan20!$G23</f>
        <v>7.3347000000000002E-8</v>
      </c>
      <c r="L14" s="7">
        <f t="shared" si="3"/>
        <v>7.04439E-8</v>
      </c>
      <c r="M14" s="6">
        <f t="shared" si="1"/>
        <v>6.4938654483880845E-8</v>
      </c>
      <c r="N14" s="6">
        <f t="shared" si="0"/>
        <v>7.5949145516119155E-8</v>
      </c>
      <c r="O14" s="6">
        <f t="shared" si="2"/>
        <v>5.5052455161191553E-9</v>
      </c>
    </row>
    <row r="15" spans="1:22" x14ac:dyDescent="0.25">
      <c r="A15" s="5">
        <v>14</v>
      </c>
      <c r="B15" s="6">
        <f>Plan11!$G24</f>
        <v>6.8626999999999996E-8</v>
      </c>
      <c r="C15" s="6">
        <f>Plan12!$G24</f>
        <v>6.3021999999999994E-8</v>
      </c>
      <c r="D15" s="6">
        <f>Plan13!$G24</f>
        <v>6.6781999999999995E-8</v>
      </c>
      <c r="E15" s="6">
        <f>Plan14!$G24</f>
        <v>7.3684E-8</v>
      </c>
      <c r="F15" s="6">
        <f>Plan15!$G24</f>
        <v>5.7764E-8</v>
      </c>
      <c r="G15" s="6">
        <f>Plan16!$G24</f>
        <v>6.9545000000000005E-8</v>
      </c>
      <c r="H15" s="6">
        <f>Plan17!$G24</f>
        <v>6.2789999999999995E-8</v>
      </c>
      <c r="I15" s="6">
        <f>Plan18!$G24</f>
        <v>8.3828000000000001E-8</v>
      </c>
      <c r="J15" s="6">
        <f>Plan19!$G24</f>
        <v>7.7985000000000006E-8</v>
      </c>
      <c r="K15" s="6">
        <f>Plan20!$G24</f>
        <v>7.1611000000000005E-8</v>
      </c>
      <c r="L15" s="7">
        <f t="shared" si="3"/>
        <v>6.9563800000000002E-8</v>
      </c>
      <c r="M15" s="6">
        <f t="shared" si="1"/>
        <v>6.4063442713862783E-8</v>
      </c>
      <c r="N15" s="6">
        <f t="shared" si="0"/>
        <v>7.5064157286137222E-8</v>
      </c>
      <c r="O15" s="6">
        <f t="shared" si="2"/>
        <v>5.5003572861372166E-9</v>
      </c>
    </row>
    <row r="16" spans="1:22" x14ac:dyDescent="0.25">
      <c r="A16" s="5">
        <v>15</v>
      </c>
      <c r="B16" s="6">
        <f>Plan11!$G25</f>
        <v>6.8672999999999996E-8</v>
      </c>
      <c r="C16" s="6">
        <f>Plan12!$G25</f>
        <v>6.6368000000000002E-8</v>
      </c>
      <c r="D16" s="6">
        <f>Plan13!$G25</f>
        <v>7.0655000000000006E-8</v>
      </c>
      <c r="E16" s="6">
        <f>Plan14!$G25</f>
        <v>7.3924999999999995E-8</v>
      </c>
      <c r="F16" s="6">
        <f>Plan15!$G25</f>
        <v>5.9546000000000003E-8</v>
      </c>
      <c r="G16" s="6">
        <f>Plan16!$G25</f>
        <v>7.1553000000000006E-8</v>
      </c>
      <c r="H16" s="6">
        <f>Plan17!$G25</f>
        <v>6.7352999999999994E-8</v>
      </c>
      <c r="I16" s="6">
        <f>Plan18!$G25</f>
        <v>8.6260000000000006E-8</v>
      </c>
      <c r="J16" s="6">
        <f>Plan19!$G25</f>
        <v>7.6218000000000001E-8</v>
      </c>
      <c r="K16" s="6">
        <f>Plan20!$G25</f>
        <v>7.1090999999999998E-8</v>
      </c>
      <c r="L16" s="7">
        <f t="shared" si="3"/>
        <v>7.1164199999999999E-8</v>
      </c>
      <c r="M16" s="6">
        <f t="shared" si="1"/>
        <v>6.6161363154093159E-8</v>
      </c>
      <c r="N16" s="6">
        <f t="shared" si="0"/>
        <v>7.6167036845906838E-8</v>
      </c>
      <c r="O16" s="6">
        <f t="shared" si="2"/>
        <v>5.0028368459068459E-9</v>
      </c>
    </row>
    <row r="17" spans="1:15" x14ac:dyDescent="0.25">
      <c r="A17" s="5">
        <v>16</v>
      </c>
      <c r="B17" s="6">
        <f>Plan11!$G26</f>
        <v>6.1951999999999998E-8</v>
      </c>
      <c r="C17" s="6">
        <f>Plan12!$G26</f>
        <v>5.9785000000000002E-8</v>
      </c>
      <c r="D17" s="6">
        <f>Plan13!$G26</f>
        <v>6.1317999999999994E-8</v>
      </c>
      <c r="E17" s="6">
        <f>Plan14!$G26</f>
        <v>6.8740000000000005E-8</v>
      </c>
      <c r="F17" s="6">
        <f>Plan15!$G26</f>
        <v>5.2620999999999999E-8</v>
      </c>
      <c r="G17" s="6">
        <f>Plan16!$G26</f>
        <v>6.3454999999999995E-8</v>
      </c>
      <c r="H17" s="6">
        <f>Plan17!$G26</f>
        <v>5.9861999999999997E-8</v>
      </c>
      <c r="I17" s="6">
        <f>Plan18!$G26</f>
        <v>7.9754000000000001E-8</v>
      </c>
      <c r="J17" s="6">
        <f>Plan19!$G26</f>
        <v>7.4566999999999995E-8</v>
      </c>
      <c r="K17" s="6">
        <f>Plan20!$G26</f>
        <v>6.6444999999999997E-8</v>
      </c>
      <c r="L17" s="7">
        <f t="shared" si="3"/>
        <v>6.4849899999999996E-8</v>
      </c>
      <c r="M17" s="6">
        <f t="shared" si="1"/>
        <v>5.9221578559712513E-8</v>
      </c>
      <c r="N17" s="6">
        <f t="shared" si="0"/>
        <v>7.0478221440287473E-8</v>
      </c>
      <c r="O17" s="6">
        <f t="shared" si="2"/>
        <v>5.6283214402874809E-9</v>
      </c>
    </row>
    <row r="18" spans="1:15" x14ac:dyDescent="0.25">
      <c r="A18" s="5">
        <v>17</v>
      </c>
      <c r="B18" s="6">
        <f>Plan11!$G27</f>
        <v>5.8456999999999999E-8</v>
      </c>
      <c r="C18" s="6">
        <f>Plan12!$G27</f>
        <v>5.4074999999999999E-8</v>
      </c>
      <c r="D18" s="6">
        <f>Plan13!$G27</f>
        <v>5.6139999999999998E-8</v>
      </c>
      <c r="E18" s="6">
        <f>Plan14!$G27</f>
        <v>6.3814000000000005E-8</v>
      </c>
      <c r="F18" s="6">
        <f>Plan15!$G27</f>
        <v>4.8821999999999999E-8</v>
      </c>
      <c r="G18" s="6">
        <f>Plan16!$G27</f>
        <v>6.0041000000000001E-8</v>
      </c>
      <c r="H18" s="6">
        <f>Plan17!$G27</f>
        <v>5.7479000000000001E-8</v>
      </c>
      <c r="I18" s="6">
        <f>Plan18!$G27</f>
        <v>7.8446E-8</v>
      </c>
      <c r="J18" s="6">
        <f>Plan19!$G27</f>
        <v>7.2923999999999998E-8</v>
      </c>
      <c r="K18" s="6">
        <f>Plan20!$G27</f>
        <v>6.2891000000000004E-8</v>
      </c>
      <c r="L18" s="7">
        <f t="shared" si="3"/>
        <v>6.1308900000000004E-8</v>
      </c>
      <c r="M18" s="6">
        <f t="shared" si="1"/>
        <v>5.5014717368755852E-8</v>
      </c>
      <c r="N18" s="6">
        <f t="shared" si="0"/>
        <v>6.760308263124415E-8</v>
      </c>
      <c r="O18" s="6">
        <f t="shared" si="2"/>
        <v>6.2941826312441497E-9</v>
      </c>
    </row>
    <row r="19" spans="1:15" x14ac:dyDescent="0.25">
      <c r="A19" s="8">
        <v>18</v>
      </c>
      <c r="B19" s="6">
        <f>Plan11!$G28</f>
        <v>6.1321999999999998E-8</v>
      </c>
      <c r="C19" s="6">
        <f>Plan12!$G28</f>
        <v>5.6478999999999999E-8</v>
      </c>
      <c r="D19" s="6">
        <f>Plan13!$G28</f>
        <v>6.0617999999999994E-8</v>
      </c>
      <c r="E19" s="6">
        <f>Plan14!$G28</f>
        <v>6.4513000000000003E-8</v>
      </c>
      <c r="F19" s="6">
        <f>Plan15!$G28</f>
        <v>5.1458000000000003E-8</v>
      </c>
      <c r="G19" s="6">
        <f>Plan16!$G28</f>
        <v>6.2756999999999997E-8</v>
      </c>
      <c r="H19" s="6">
        <f>Plan17!$G28</f>
        <v>6.1314000000000002E-8</v>
      </c>
      <c r="I19" s="6">
        <f>Plan18!$G28</f>
        <v>7.9642000000000006E-8</v>
      </c>
      <c r="J19" s="6">
        <f>Plan19!$G28</f>
        <v>7.1440999999999998E-8</v>
      </c>
      <c r="K19" s="6">
        <f>Plan20!$G28</f>
        <v>6.3526999999999997E-8</v>
      </c>
      <c r="L19" s="7">
        <f t="shared" si="3"/>
        <v>6.3307100000000004E-8</v>
      </c>
      <c r="M19" s="6">
        <f t="shared" si="1"/>
        <v>5.7781573598787575E-8</v>
      </c>
      <c r="N19" s="6">
        <f t="shared" si="0"/>
        <v>6.8832626401212427E-8</v>
      </c>
      <c r="O19" s="6">
        <f t="shared" si="2"/>
        <v>5.5255264012124273E-9</v>
      </c>
    </row>
    <row r="20" spans="1:15" x14ac:dyDescent="0.25">
      <c r="A20" s="9">
        <v>19</v>
      </c>
      <c r="B20" s="6">
        <f>Plan11!$G29</f>
        <v>5.8297000000000002E-8</v>
      </c>
      <c r="C20" s="6">
        <f>Plan12!$G29</f>
        <v>5.4926999999999999E-8</v>
      </c>
      <c r="D20" s="6">
        <f>Plan13!$G29</f>
        <v>5.7078999999999998E-8</v>
      </c>
      <c r="E20" s="6">
        <f>Plan14!$G29</f>
        <v>6.2943999999999998E-8</v>
      </c>
      <c r="F20" s="6">
        <f>Plan15!$G29</f>
        <v>4.9103E-8</v>
      </c>
      <c r="G20" s="6">
        <f>Plan16!$G29</f>
        <v>5.9243999999999998E-8</v>
      </c>
      <c r="H20" s="6">
        <f>Plan17!$G29</f>
        <v>5.7562999999999997E-8</v>
      </c>
      <c r="I20" s="6">
        <f>Plan18!$G29</f>
        <v>7.6510000000000002E-8</v>
      </c>
      <c r="J20" s="6">
        <f>Plan19!$G29</f>
        <v>7.1262999999999994E-8</v>
      </c>
      <c r="K20" s="6">
        <f>Plan20!$G29</f>
        <v>6.2422000000000001E-8</v>
      </c>
      <c r="L20" s="7">
        <f t="shared" si="3"/>
        <v>6.0935199999999994E-8</v>
      </c>
      <c r="M20" s="6">
        <f t="shared" si="1"/>
        <v>5.5254000009870733E-8</v>
      </c>
      <c r="N20" s="6">
        <f t="shared" si="0"/>
        <v>6.6616399990129248E-8</v>
      </c>
      <c r="O20" s="6">
        <f t="shared" si="2"/>
        <v>5.681199990129261E-9</v>
      </c>
    </row>
    <row r="21" spans="1:15" x14ac:dyDescent="0.25">
      <c r="A21" s="9">
        <v>20</v>
      </c>
      <c r="B21" s="6">
        <f>Plan11!$G30</f>
        <v>5.6147E-8</v>
      </c>
      <c r="C21" s="6">
        <f>Plan12!$G30</f>
        <v>5.0190000000000001E-8</v>
      </c>
      <c r="D21" s="6">
        <f>Plan13!$G30</f>
        <v>5.1091999999999999E-8</v>
      </c>
      <c r="E21" s="6">
        <f>Plan14!$G30</f>
        <v>5.8079E-8</v>
      </c>
      <c r="F21" s="6">
        <f>Plan15!$G30</f>
        <v>4.5097999999999998E-8</v>
      </c>
      <c r="G21" s="6">
        <f>Plan16!$G30</f>
        <v>5.6361999999999999E-8</v>
      </c>
      <c r="H21" s="6">
        <f>Plan17!$G30</f>
        <v>5.2502000000000003E-8</v>
      </c>
      <c r="I21" s="6">
        <f>Plan18!$G30</f>
        <v>7.3133999999999998E-8</v>
      </c>
      <c r="J21" s="6">
        <f>Plan19!$G30</f>
        <v>6.9951000000000002E-8</v>
      </c>
      <c r="K21" s="6">
        <f>Plan20!$G30</f>
        <v>5.9164E-8</v>
      </c>
      <c r="L21" s="7">
        <f t="shared" si="3"/>
        <v>5.7171899999999999E-8</v>
      </c>
      <c r="M21" s="6">
        <f t="shared" si="1"/>
        <v>5.096347560530736E-8</v>
      </c>
      <c r="N21" s="6">
        <f t="shared" si="0"/>
        <v>6.338032439469263E-8</v>
      </c>
      <c r="O21" s="6">
        <f t="shared" si="2"/>
        <v>6.208424394692636E-9</v>
      </c>
    </row>
    <row r="22" spans="1:15" x14ac:dyDescent="0.25">
      <c r="A22" s="9">
        <v>21</v>
      </c>
      <c r="B22" s="6">
        <f>Plan11!$G31</f>
        <v>5.6231999999999997E-8</v>
      </c>
      <c r="C22" s="6">
        <f>Plan12!$G31</f>
        <v>5.1439000000000002E-8</v>
      </c>
      <c r="D22" s="6">
        <f>Plan13!$G31</f>
        <v>5.3028999999999998E-8</v>
      </c>
      <c r="E22" s="6">
        <f>Plan14!$G31</f>
        <v>5.7478E-8</v>
      </c>
      <c r="F22" s="6">
        <f>Plan15!$G31</f>
        <v>4.5794E-8</v>
      </c>
      <c r="G22" s="6">
        <f>Plan16!$G31</f>
        <v>5.7557999999999998E-8</v>
      </c>
      <c r="H22" s="6">
        <f>Plan17!$G31</f>
        <v>5.3124E-8</v>
      </c>
      <c r="I22" s="6">
        <f>Plan18!$G31</f>
        <v>7.2685000000000005E-8</v>
      </c>
      <c r="J22" s="6">
        <f>Plan19!$G31</f>
        <v>6.8180999999999994E-8</v>
      </c>
      <c r="K22" s="6">
        <f>Plan20!$G31</f>
        <v>5.9648000000000006E-8</v>
      </c>
      <c r="L22" s="7">
        <f t="shared" si="3"/>
        <v>5.7516800000000001E-8</v>
      </c>
      <c r="M22" s="6">
        <f t="shared" si="1"/>
        <v>5.1854895258293823E-8</v>
      </c>
      <c r="N22" s="6">
        <f t="shared" si="0"/>
        <v>6.3178704741706172E-8</v>
      </c>
      <c r="O22" s="6">
        <f t="shared" si="2"/>
        <v>5.6619047417061759E-9</v>
      </c>
    </row>
    <row r="23" spans="1:15" x14ac:dyDescent="0.25">
      <c r="A23" s="9">
        <v>22</v>
      </c>
      <c r="B23" s="6">
        <f>Plan11!$G32</f>
        <v>5.3949000000000002E-8</v>
      </c>
      <c r="C23" s="6">
        <f>Plan12!$G32</f>
        <v>5.2294999999999999E-8</v>
      </c>
      <c r="D23" s="6">
        <f>Plan13!$G32</f>
        <v>5.3741999999999999E-8</v>
      </c>
      <c r="E23" s="6">
        <f>Plan14!$G32</f>
        <v>5.7537000000000001E-8</v>
      </c>
      <c r="F23" s="6">
        <f>Plan15!$G32</f>
        <v>4.5347000000000002E-8</v>
      </c>
      <c r="G23" s="6">
        <f>Plan16!$G32</f>
        <v>5.5978E-8</v>
      </c>
      <c r="H23" s="6">
        <f>Plan17!$G32</f>
        <v>5.2509999999999998E-8</v>
      </c>
      <c r="I23" s="6">
        <f>Plan18!$G32</f>
        <v>7.0821999999999997E-8</v>
      </c>
      <c r="J23" s="6">
        <f>Plan19!$G32</f>
        <v>6.9261000000000001E-8</v>
      </c>
      <c r="K23" s="6">
        <f>Plan20!$G32</f>
        <v>6.0134000000000001E-8</v>
      </c>
      <c r="L23" s="7">
        <f t="shared" si="3"/>
        <v>5.7157499999999988E-8</v>
      </c>
      <c r="M23" s="6">
        <f t="shared" si="1"/>
        <v>5.1563776695049917E-8</v>
      </c>
      <c r="N23" s="6">
        <f t="shared" si="0"/>
        <v>6.2751223304950064E-8</v>
      </c>
      <c r="O23" s="6">
        <f t="shared" si="2"/>
        <v>5.5937233049500711E-9</v>
      </c>
    </row>
    <row r="24" spans="1:15" x14ac:dyDescent="0.25">
      <c r="A24" s="9">
        <v>23</v>
      </c>
      <c r="B24" s="6">
        <f>Plan11!$G33</f>
        <v>5.1129000000000001E-8</v>
      </c>
      <c r="C24" s="6">
        <f>Plan12!$G33</f>
        <v>4.9554000000000002E-8</v>
      </c>
      <c r="D24" s="6">
        <f>Plan13!$G33</f>
        <v>4.8254000000000003E-8</v>
      </c>
      <c r="E24" s="6">
        <f>Plan14!$G33</f>
        <v>5.4585000000000002E-8</v>
      </c>
      <c r="F24" s="6">
        <f>Plan15!$G33</f>
        <v>4.1770999999999997E-8</v>
      </c>
      <c r="G24" s="6">
        <f>Plan16!$G33</f>
        <v>5.3022000000000003E-8</v>
      </c>
      <c r="H24" s="6">
        <f>Plan17!$G33</f>
        <v>4.7471000000000002E-8</v>
      </c>
      <c r="I24" s="6">
        <f>Plan18!$G33</f>
        <v>6.6651999999999994E-8</v>
      </c>
      <c r="J24" s="6">
        <f>Plan19!$G33</f>
        <v>6.8561000000000001E-8</v>
      </c>
      <c r="K24" s="6">
        <f>Plan20!$G33</f>
        <v>5.8203000000000002E-8</v>
      </c>
      <c r="L24" s="7">
        <f t="shared" si="3"/>
        <v>5.39202E-8</v>
      </c>
      <c r="M24" s="6">
        <f t="shared" si="1"/>
        <v>4.7868026825467711E-8</v>
      </c>
      <c r="N24" s="6">
        <f t="shared" si="0"/>
        <v>5.9972373174532283E-8</v>
      </c>
      <c r="O24" s="6">
        <f t="shared" si="2"/>
        <v>6.0521731745322893E-9</v>
      </c>
    </row>
    <row r="25" spans="1:15" x14ac:dyDescent="0.25">
      <c r="A25" s="9">
        <v>24</v>
      </c>
      <c r="B25" s="6">
        <f>Plan11!$G34</f>
        <v>5.0385999999999999E-8</v>
      </c>
      <c r="C25" s="6">
        <f>Plan12!$G34</f>
        <v>4.8879999999999998E-8</v>
      </c>
      <c r="D25" s="6">
        <f>Plan13!$G34</f>
        <v>4.7677999999999999E-8</v>
      </c>
      <c r="E25" s="6">
        <f>Plan14!$G34</f>
        <v>5.2427999999999998E-8</v>
      </c>
      <c r="F25" s="6">
        <f>Plan15!$G34</f>
        <v>4.1636000000000003E-8</v>
      </c>
      <c r="G25" s="6">
        <f>Plan16!$G34</f>
        <v>5.1807000000000002E-8</v>
      </c>
      <c r="H25" s="6">
        <f>Plan17!$G34</f>
        <v>4.6246000000000003E-8</v>
      </c>
      <c r="I25" s="6">
        <f>Plan18!$G34</f>
        <v>6.5704000000000004E-8</v>
      </c>
      <c r="J25" s="6">
        <f>Plan19!$G34</f>
        <v>6.6955999999999994E-8</v>
      </c>
      <c r="K25" s="6">
        <f>Plan20!$G34</f>
        <v>5.8309999999999997E-8</v>
      </c>
      <c r="L25" s="7">
        <f t="shared" si="3"/>
        <v>5.30031E-8</v>
      </c>
      <c r="M25" s="6">
        <f t="shared" si="1"/>
        <v>4.7099317241394175E-8</v>
      </c>
      <c r="N25" s="6">
        <f t="shared" si="0"/>
        <v>5.8906882758605826E-8</v>
      </c>
      <c r="O25" s="6">
        <f t="shared" si="2"/>
        <v>5.903782758605828E-9</v>
      </c>
    </row>
    <row r="26" spans="1:15" x14ac:dyDescent="0.25">
      <c r="A26" s="9">
        <v>25</v>
      </c>
      <c r="B26" s="6">
        <f>Plan11!$G35</f>
        <v>5.0557000000000001E-8</v>
      </c>
      <c r="C26" s="6">
        <f>Plan12!$G35</f>
        <v>4.9771000000000003E-8</v>
      </c>
      <c r="D26" s="6">
        <f>Plan13!$G35</f>
        <v>4.9876999999999997E-8</v>
      </c>
      <c r="E26" s="6">
        <f>Plan14!$G35</f>
        <v>5.1805E-8</v>
      </c>
      <c r="F26" s="6">
        <f>Plan15!$G35</f>
        <v>4.2401999999999998E-8</v>
      </c>
      <c r="G26" s="6">
        <f>Plan16!$G35</f>
        <v>5.1802999999999997E-8</v>
      </c>
      <c r="H26" s="6">
        <f>Plan17!$G35</f>
        <v>4.7314000000000003E-8</v>
      </c>
      <c r="I26" s="6">
        <f>Plan18!$G35</f>
        <v>6.4807999999999994E-8</v>
      </c>
      <c r="J26" s="6">
        <f>Plan19!$G35</f>
        <v>6.6313000000000006E-8</v>
      </c>
      <c r="K26" s="6">
        <f>Plan20!$G35</f>
        <v>5.8677999999999998E-8</v>
      </c>
      <c r="L26" s="7">
        <f t="shared" si="3"/>
        <v>5.3332800000000008E-8</v>
      </c>
      <c r="M26" s="6">
        <f t="shared" si="1"/>
        <v>4.7887655082750465E-8</v>
      </c>
      <c r="N26" s="6">
        <f t="shared" si="0"/>
        <v>5.8777944917249551E-8</v>
      </c>
      <c r="O26" s="6">
        <f t="shared" si="2"/>
        <v>5.4451449172495414E-9</v>
      </c>
    </row>
    <row r="27" spans="1:15" x14ac:dyDescent="0.25">
      <c r="A27" s="9">
        <v>26</v>
      </c>
      <c r="B27" s="6">
        <f>Plan11!$G36</f>
        <v>4.8750000000000003E-8</v>
      </c>
      <c r="C27" s="6">
        <f>Plan12!$G36</f>
        <v>4.8481000000000002E-8</v>
      </c>
      <c r="D27" s="6">
        <f>Plan13!$G36</f>
        <v>4.5714000000000002E-8</v>
      </c>
      <c r="E27" s="6">
        <f>Plan14!$G36</f>
        <v>4.9774E-8</v>
      </c>
      <c r="F27" s="6">
        <f>Plan15!$G36</f>
        <v>4.0163E-8</v>
      </c>
      <c r="G27" s="6">
        <f>Plan16!$G36</f>
        <v>4.9608999999999998E-8</v>
      </c>
      <c r="H27" s="6">
        <f>Plan17!$G36</f>
        <v>4.3244E-8</v>
      </c>
      <c r="I27" s="6">
        <f>Plan18!$G36</f>
        <v>6.1644000000000006E-8</v>
      </c>
      <c r="J27" s="6">
        <f>Plan19!$G36</f>
        <v>6.6254999999999993E-8</v>
      </c>
      <c r="K27" s="6">
        <f>Plan20!$G36</f>
        <v>5.6346E-8</v>
      </c>
      <c r="L27" s="7">
        <f t="shared" si="3"/>
        <v>5.0998000000000004E-8</v>
      </c>
      <c r="M27" s="6">
        <f t="shared" si="1"/>
        <v>4.5181654381262013E-8</v>
      </c>
      <c r="N27" s="6">
        <f t="shared" si="0"/>
        <v>5.6814345618737996E-8</v>
      </c>
      <c r="O27" s="6">
        <f t="shared" si="2"/>
        <v>5.8163456187379892E-9</v>
      </c>
    </row>
    <row r="28" spans="1:15" x14ac:dyDescent="0.25">
      <c r="A28" s="9">
        <v>27</v>
      </c>
      <c r="B28" s="6">
        <f>Plan11!$G37</f>
        <v>4.8160000000000002E-8</v>
      </c>
      <c r="C28" s="6">
        <f>Plan12!$G37</f>
        <v>4.5923E-8</v>
      </c>
      <c r="D28" s="6">
        <f>Plan13!$G37</f>
        <v>4.3316999999999997E-8</v>
      </c>
      <c r="E28" s="6">
        <f>Plan14!$G37</f>
        <v>4.7345999999999999E-8</v>
      </c>
      <c r="F28" s="6">
        <f>Plan15!$G37</f>
        <v>3.8611000000000001E-8</v>
      </c>
      <c r="G28" s="6">
        <f>Plan16!$G37</f>
        <v>4.7926000000000002E-8</v>
      </c>
      <c r="H28" s="6">
        <f>Plan17!$G37</f>
        <v>4.1881000000000003E-8</v>
      </c>
      <c r="I28" s="6">
        <f>Plan18!$G37</f>
        <v>6.0700999999999995E-8</v>
      </c>
      <c r="J28" s="6">
        <f>Plan19!$G37</f>
        <v>6.4643000000000005E-8</v>
      </c>
      <c r="K28" s="6">
        <f>Plan20!$G37</f>
        <v>5.3980999999999999E-8</v>
      </c>
      <c r="L28" s="7">
        <f t="shared" si="3"/>
        <v>4.9248899999999994E-8</v>
      </c>
      <c r="M28" s="6">
        <f t="shared" si="1"/>
        <v>4.3355806235640144E-8</v>
      </c>
      <c r="N28" s="6">
        <f t="shared" si="0"/>
        <v>5.5141993764359844E-8</v>
      </c>
      <c r="O28" s="6">
        <f t="shared" si="2"/>
        <v>5.89309376435985E-9</v>
      </c>
    </row>
    <row r="29" spans="1:15" x14ac:dyDescent="0.25">
      <c r="A29" s="9">
        <v>28</v>
      </c>
      <c r="B29" s="6">
        <f>Plan11!$G38</f>
        <v>4.9392999999999998E-8</v>
      </c>
      <c r="C29" s="6">
        <f>Plan12!$G38</f>
        <v>4.6952999999999997E-8</v>
      </c>
      <c r="D29" s="6">
        <f>Plan13!$G38</f>
        <v>4.4718999999999998E-8</v>
      </c>
      <c r="E29" s="6">
        <f>Plan14!$G38</f>
        <v>4.6987999999999997E-8</v>
      </c>
      <c r="F29" s="6">
        <f>Plan15!$G38</f>
        <v>3.8683000000000003E-8</v>
      </c>
      <c r="G29" s="6">
        <f>Plan16!$G38</f>
        <v>4.9145000000000001E-8</v>
      </c>
      <c r="H29" s="6">
        <f>Plan17!$G38</f>
        <v>4.2474E-8</v>
      </c>
      <c r="I29" s="6">
        <f>Plan18!$G38</f>
        <v>6.0271999999999999E-8</v>
      </c>
      <c r="J29" s="6">
        <f>Plan19!$G38</f>
        <v>6.3761999999999999E-8</v>
      </c>
      <c r="K29" s="6">
        <f>Plan20!$G38</f>
        <v>5.2921000000000001E-8</v>
      </c>
      <c r="L29" s="7">
        <f t="shared" si="3"/>
        <v>4.9531000000000002E-8</v>
      </c>
      <c r="M29" s="6">
        <f t="shared" si="1"/>
        <v>4.4024356129389211E-8</v>
      </c>
      <c r="N29" s="6">
        <f t="shared" si="0"/>
        <v>5.5037643870610793E-8</v>
      </c>
      <c r="O29" s="6">
        <f t="shared" si="2"/>
        <v>5.5066438706107881E-9</v>
      </c>
    </row>
    <row r="30" spans="1:15" x14ac:dyDescent="0.25">
      <c r="A30" s="9">
        <v>29</v>
      </c>
      <c r="B30" s="6">
        <f>Plan11!$G39</f>
        <v>4.7854E-8</v>
      </c>
      <c r="C30" s="6">
        <f>Plan12!$G39</f>
        <v>4.6796999999999999E-8</v>
      </c>
      <c r="D30" s="6">
        <f>Plan13!$G39</f>
        <v>4.3365999999999999E-8</v>
      </c>
      <c r="E30" s="6">
        <f>Plan14!$G39</f>
        <v>4.6883999999999998E-8</v>
      </c>
      <c r="F30" s="6">
        <f>Plan15!$G39</f>
        <v>3.7758E-8</v>
      </c>
      <c r="G30" s="6">
        <f>Plan16!$G39</f>
        <v>4.7092999999999997E-8</v>
      </c>
      <c r="H30" s="6">
        <f>Plan17!$G39</f>
        <v>4.0387000000000003E-8</v>
      </c>
      <c r="I30" s="6">
        <f>Plan18!$G39</f>
        <v>5.8122999999999997E-8</v>
      </c>
      <c r="J30" s="6">
        <f>Plan19!$G39</f>
        <v>6.3291999999999995E-8</v>
      </c>
      <c r="K30" s="6">
        <f>Plan20!$G39</f>
        <v>5.1452999999999998E-8</v>
      </c>
      <c r="L30" s="7">
        <f t="shared" si="3"/>
        <v>4.8300700000000007E-8</v>
      </c>
      <c r="M30" s="6">
        <f t="shared" si="1"/>
        <v>4.2784218902060123E-8</v>
      </c>
      <c r="N30" s="6">
        <f t="shared" si="0"/>
        <v>5.3817181097939891E-8</v>
      </c>
      <c r="O30" s="6">
        <f t="shared" si="2"/>
        <v>5.5164810979398842E-9</v>
      </c>
    </row>
    <row r="31" spans="1:15" x14ac:dyDescent="0.25">
      <c r="A31" s="10">
        <v>30</v>
      </c>
      <c r="B31" s="6">
        <f>Plan11!$G40</f>
        <v>4.6224999999999999E-8</v>
      </c>
      <c r="C31" s="6">
        <f>Plan12!$G40</f>
        <v>4.5406000000000003E-8</v>
      </c>
      <c r="D31" s="6">
        <f>Plan13!$G40</f>
        <v>4.0493999999999999E-8</v>
      </c>
      <c r="E31" s="6">
        <f>Plan14!$G40</f>
        <v>4.5155000000000003E-8</v>
      </c>
      <c r="F31" s="6">
        <f>Plan15!$G40</f>
        <v>3.5389E-8</v>
      </c>
      <c r="G31" s="6">
        <f>Plan16!$G40</f>
        <v>4.5678E-8</v>
      </c>
      <c r="H31" s="6">
        <f>Plan17!$G40</f>
        <v>3.8216999999999997E-8</v>
      </c>
      <c r="I31" s="6">
        <f>Plan18!$G40</f>
        <v>5.6523000000000003E-8</v>
      </c>
      <c r="J31" s="6">
        <f>Plan19!$G40</f>
        <v>6.2076000000000006E-8</v>
      </c>
      <c r="K31" s="6">
        <f>Plan20!$G40</f>
        <v>4.8687999999999999E-8</v>
      </c>
      <c r="L31" s="7">
        <f t="shared" si="3"/>
        <v>4.63851E-8</v>
      </c>
      <c r="M31" s="6">
        <f t="shared" si="1"/>
        <v>4.0644293380417625E-8</v>
      </c>
      <c r="N31" s="6">
        <f t="shared" si="0"/>
        <v>5.2125906619582376E-8</v>
      </c>
      <c r="O31" s="6">
        <f t="shared" si="2"/>
        <v>5.7408066195823755E-9</v>
      </c>
    </row>
    <row r="32" spans="1:15" x14ac:dyDescent="0.25">
      <c r="A32" s="9">
        <v>31</v>
      </c>
      <c r="B32" s="6">
        <f>Plan11!$G41</f>
        <v>4.7070999999999998E-8</v>
      </c>
      <c r="C32" s="6">
        <f>Plan12!$G41</f>
        <v>4.6065999999999997E-8</v>
      </c>
      <c r="D32" s="6">
        <f>Plan13!$G41</f>
        <v>4.0733999999999999E-8</v>
      </c>
      <c r="E32" s="6">
        <f>Plan14!$G41</f>
        <v>4.4063000000000002E-8</v>
      </c>
      <c r="F32" s="6">
        <f>Plan15!$G41</f>
        <v>3.5432000000000003E-8</v>
      </c>
      <c r="G32" s="6">
        <f>Plan16!$G41</f>
        <v>4.6979E-8</v>
      </c>
      <c r="H32" s="6">
        <f>Plan17!$G41</f>
        <v>3.7955999999999999E-8</v>
      </c>
      <c r="I32" s="6">
        <f>Plan18!$G41</f>
        <v>5.6126000000000002E-8</v>
      </c>
      <c r="J32" s="6">
        <f>Plan19!$G41</f>
        <v>6.0359000000000005E-8</v>
      </c>
      <c r="K32" s="6">
        <f>Plan20!$G41</f>
        <v>4.6851E-8</v>
      </c>
      <c r="L32" s="7">
        <f t="shared" si="3"/>
        <v>4.6163699999999999E-8</v>
      </c>
      <c r="M32" s="6">
        <f t="shared" si="1"/>
        <v>4.0730575397112064E-8</v>
      </c>
      <c r="N32" s="6">
        <f t="shared" si="0"/>
        <v>5.1596824602887935E-8</v>
      </c>
      <c r="O32" s="6">
        <f t="shared" si="2"/>
        <v>5.433124602887933E-9</v>
      </c>
    </row>
    <row r="33" spans="1:15" x14ac:dyDescent="0.25">
      <c r="A33" s="9">
        <v>32</v>
      </c>
      <c r="B33" s="6">
        <f>Plan11!$G42</f>
        <v>4.5943999999999998E-8</v>
      </c>
      <c r="C33" s="6">
        <f>Plan12!$G42</f>
        <v>4.6067999999999999E-8</v>
      </c>
      <c r="D33" s="6">
        <f>Plan13!$G42</f>
        <v>4.1805999999999997E-8</v>
      </c>
      <c r="E33" s="6">
        <f>Plan14!$G42</f>
        <v>4.4227999999999997E-8</v>
      </c>
      <c r="F33" s="6">
        <f>Plan15!$G42</f>
        <v>3.5558E-8</v>
      </c>
      <c r="G33" s="6">
        <f>Plan16!$G42</f>
        <v>4.5756000000000003E-8</v>
      </c>
      <c r="H33" s="6">
        <f>Plan17!$G42</f>
        <v>3.7957E-8</v>
      </c>
      <c r="I33" s="6">
        <f>Plan18!$G42</f>
        <v>5.4873999999999999E-8</v>
      </c>
      <c r="J33" s="6">
        <f>Plan19!$G42</f>
        <v>5.8852999999999998E-8</v>
      </c>
      <c r="K33" s="6">
        <f>Plan20!$G42</f>
        <v>4.6234999999999997E-8</v>
      </c>
      <c r="L33" s="7">
        <f t="shared" si="3"/>
        <v>4.5727899999999992E-8</v>
      </c>
      <c r="M33" s="6">
        <f t="shared" si="1"/>
        <v>4.0738691109261952E-8</v>
      </c>
      <c r="N33" s="6">
        <f t="shared" si="0"/>
        <v>5.0717108890738032E-8</v>
      </c>
      <c r="O33" s="6">
        <f t="shared" si="2"/>
        <v>4.9892088907380409E-9</v>
      </c>
    </row>
    <row r="34" spans="1:15" x14ac:dyDescent="0.25">
      <c r="A34" s="9">
        <v>33</v>
      </c>
      <c r="B34" s="6">
        <f>Plan11!$G43</f>
        <v>4.4706999999999998E-8</v>
      </c>
      <c r="C34" s="6">
        <f>Plan12!$G43</f>
        <v>4.5292E-8</v>
      </c>
      <c r="D34" s="6">
        <f>Plan13!$G43</f>
        <v>3.8601999999999997E-8</v>
      </c>
      <c r="E34" s="6">
        <f>Plan14!$G43</f>
        <v>4.2529000000000003E-8</v>
      </c>
      <c r="F34" s="6">
        <f>Plan15!$G43</f>
        <v>3.3616000000000001E-8</v>
      </c>
      <c r="G34" s="6">
        <f>Plan16!$G43</f>
        <v>4.4730999999999999E-8</v>
      </c>
      <c r="H34" s="6">
        <f>Plan17!$G43</f>
        <v>3.5638999999999999E-8</v>
      </c>
      <c r="I34" s="6">
        <f>Plan18!$G43</f>
        <v>5.3610000000000002E-8</v>
      </c>
      <c r="J34" s="6">
        <f>Plan19!$G43</f>
        <v>5.7653E-8</v>
      </c>
      <c r="K34" s="6">
        <f>Plan20!$G43</f>
        <v>4.3433000000000003E-8</v>
      </c>
      <c r="L34" s="7">
        <f t="shared" si="3"/>
        <v>4.3981199999999999E-8</v>
      </c>
      <c r="M34" s="6">
        <f t="shared" si="1"/>
        <v>3.8698451047502463E-8</v>
      </c>
      <c r="N34" s="6">
        <f t="shared" si="0"/>
        <v>4.9263948952497536E-8</v>
      </c>
      <c r="O34" s="6">
        <f t="shared" si="2"/>
        <v>5.282748952497539E-9</v>
      </c>
    </row>
    <row r="35" spans="1:15" x14ac:dyDescent="0.25">
      <c r="A35" s="9">
        <v>34</v>
      </c>
      <c r="B35" s="6">
        <f>Plan11!$G44</f>
        <v>4.5107000000000002E-8</v>
      </c>
      <c r="C35" s="6">
        <f>Plan12!$G44</f>
        <v>4.4937000000000001E-8</v>
      </c>
      <c r="D35" s="6">
        <f>Plan13!$G44</f>
        <v>3.7865000000000002E-8</v>
      </c>
      <c r="E35" s="6">
        <f>Plan14!$G44</f>
        <v>4.1233000000000003E-8</v>
      </c>
      <c r="F35" s="6">
        <f>Plan15!$G44</f>
        <v>3.3574E-8</v>
      </c>
      <c r="G35" s="6">
        <f>Plan16!$G44</f>
        <v>4.5266000000000003E-8</v>
      </c>
      <c r="H35" s="6">
        <f>Plan17!$G44</f>
        <v>3.5310999999999998E-8</v>
      </c>
      <c r="I35" s="6">
        <f>Plan18!$G44</f>
        <v>5.3405000000000001E-8</v>
      </c>
      <c r="J35" s="6">
        <f>Plan19!$G44</f>
        <v>5.5991000000000002E-8</v>
      </c>
      <c r="K35" s="6">
        <f>Plan20!$G44</f>
        <v>4.2049000000000002E-8</v>
      </c>
      <c r="L35" s="7">
        <f t="shared" si="3"/>
        <v>4.3473800000000005E-8</v>
      </c>
      <c r="M35" s="6">
        <f t="shared" si="1"/>
        <v>3.8323691042665808E-8</v>
      </c>
      <c r="N35" s="6">
        <f t="shared" si="0"/>
        <v>4.8623908957334203E-8</v>
      </c>
      <c r="O35" s="6">
        <f t="shared" si="2"/>
        <v>5.150108957334195E-9</v>
      </c>
    </row>
    <row r="36" spans="1:15" x14ac:dyDescent="0.25">
      <c r="A36" s="9">
        <v>35</v>
      </c>
      <c r="B36" s="6">
        <f>Plan11!$G45</f>
        <v>4.5453999999999998E-8</v>
      </c>
      <c r="C36" s="6">
        <f>Plan12!$G45</f>
        <v>4.5129E-8</v>
      </c>
      <c r="D36" s="6">
        <f>Plan13!$G45</f>
        <v>3.9652999999999998E-8</v>
      </c>
      <c r="E36" s="6">
        <f>Plan14!$G45</f>
        <v>4.0900999999999997E-8</v>
      </c>
      <c r="F36" s="6">
        <f>Plan15!$G45</f>
        <v>3.3632E-8</v>
      </c>
      <c r="G36" s="6">
        <f>Plan16!$G45</f>
        <v>4.5113000000000002E-8</v>
      </c>
      <c r="H36" s="6">
        <f>Plan17!$G45</f>
        <v>3.5624000000000002E-8</v>
      </c>
      <c r="I36" s="6">
        <f>Plan18!$G45</f>
        <v>5.2520000000000003E-8</v>
      </c>
      <c r="J36" s="6">
        <f>Plan19!$G45</f>
        <v>5.3988E-8</v>
      </c>
      <c r="K36" s="6">
        <f>Plan20!$G45</f>
        <v>4.2278000000000003E-8</v>
      </c>
      <c r="L36" s="7">
        <f t="shared" si="3"/>
        <v>4.3429200000000002E-8</v>
      </c>
      <c r="M36" s="6">
        <f t="shared" si="1"/>
        <v>3.8763582045749607E-8</v>
      </c>
      <c r="N36" s="6">
        <f t="shared" si="0"/>
        <v>4.8094817954250397E-8</v>
      </c>
      <c r="O36" s="6">
        <f t="shared" si="2"/>
        <v>4.6656179542503965E-9</v>
      </c>
    </row>
    <row r="37" spans="1:15" x14ac:dyDescent="0.25">
      <c r="A37" s="9">
        <v>36</v>
      </c>
      <c r="B37" s="6">
        <f>Plan11!$G46</f>
        <v>4.4717999999999997E-8</v>
      </c>
      <c r="C37" s="6">
        <f>Plan12!$G46</f>
        <v>4.4781000000000002E-8</v>
      </c>
      <c r="D37" s="6">
        <f>Plan13!$G46</f>
        <v>3.7447999999999999E-8</v>
      </c>
      <c r="E37" s="6">
        <f>Plan14!$G46</f>
        <v>3.9971000000000001E-8</v>
      </c>
      <c r="F37" s="6">
        <f>Plan15!$G46</f>
        <v>3.2281000000000003E-8</v>
      </c>
      <c r="G37" s="6">
        <f>Plan16!$G46</f>
        <v>4.3944E-8</v>
      </c>
      <c r="H37" s="6">
        <f>Plan17!$G46</f>
        <v>3.3810000000000003E-8</v>
      </c>
      <c r="I37" s="6">
        <f>Plan18!$G46</f>
        <v>5.1368E-8</v>
      </c>
      <c r="J37" s="6">
        <f>Plan19!$G46</f>
        <v>5.3300000000000001E-8</v>
      </c>
      <c r="K37" s="6">
        <f>Plan20!$G46</f>
        <v>4.1106999999999999E-8</v>
      </c>
      <c r="L37" s="7">
        <f t="shared" si="3"/>
        <v>4.22728E-8</v>
      </c>
      <c r="M37" s="6">
        <f t="shared" si="1"/>
        <v>3.7381470169213698E-8</v>
      </c>
      <c r="N37" s="6">
        <f t="shared" si="0"/>
        <v>4.7164129830786302E-8</v>
      </c>
      <c r="O37" s="6">
        <f t="shared" si="2"/>
        <v>4.8913298307863048E-9</v>
      </c>
    </row>
    <row r="38" spans="1:15" x14ac:dyDescent="0.25">
      <c r="A38" s="9">
        <v>37</v>
      </c>
      <c r="B38" s="6">
        <f>Plan11!$G47</f>
        <v>4.4716000000000002E-8</v>
      </c>
      <c r="C38" s="6">
        <f>Plan12!$G47</f>
        <v>4.4137E-8</v>
      </c>
      <c r="D38" s="6">
        <f>Plan13!$G47</f>
        <v>3.6207000000000001E-8</v>
      </c>
      <c r="E38" s="6">
        <f>Plan14!$G47</f>
        <v>3.9204999999999999E-8</v>
      </c>
      <c r="F38" s="6">
        <f>Plan15!$G47</f>
        <v>3.1596E-8</v>
      </c>
      <c r="G38" s="6">
        <f>Plan16!$G47</f>
        <v>4.3509999999999997E-8</v>
      </c>
      <c r="H38" s="6">
        <f>Plan17!$G47</f>
        <v>3.3767000000000001E-8</v>
      </c>
      <c r="I38" s="6">
        <f>Plan18!$G47</f>
        <v>5.1120999999999998E-8</v>
      </c>
      <c r="J38" s="6">
        <f>Plan19!$G47</f>
        <v>5.1783000000000001E-8</v>
      </c>
      <c r="K38" s="6">
        <f>Plan20!$G47</f>
        <v>3.9785000000000002E-8</v>
      </c>
      <c r="L38" s="7">
        <f t="shared" si="3"/>
        <v>4.1582699999999993E-8</v>
      </c>
      <c r="M38" s="6">
        <f t="shared" si="1"/>
        <v>3.6732762677268181E-8</v>
      </c>
      <c r="N38" s="6">
        <f t="shared" si="0"/>
        <v>4.6432637322731805E-8</v>
      </c>
      <c r="O38" s="6">
        <f t="shared" si="2"/>
        <v>4.8499373227318127E-9</v>
      </c>
    </row>
    <row r="39" spans="1:15" x14ac:dyDescent="0.25">
      <c r="A39" s="9">
        <v>38</v>
      </c>
      <c r="B39" s="6">
        <f>Plan11!$G48</f>
        <v>4.5275E-8</v>
      </c>
      <c r="C39" s="6">
        <f>Plan12!$G48</f>
        <v>4.4606999999999997E-8</v>
      </c>
      <c r="D39" s="6">
        <f>Plan13!$G48</f>
        <v>3.7160000000000003E-8</v>
      </c>
      <c r="E39" s="6">
        <f>Plan14!$G48</f>
        <v>3.8252999999999998E-8</v>
      </c>
      <c r="F39" s="6">
        <f>Plan15!$G48</f>
        <v>3.1283000000000003E-8</v>
      </c>
      <c r="G39" s="6">
        <f>Plan16!$G48</f>
        <v>4.3538999999999997E-8</v>
      </c>
      <c r="H39" s="6">
        <f>Plan17!$G48</f>
        <v>3.4393999999999997E-8</v>
      </c>
      <c r="I39" s="6">
        <f>Plan18!$G48</f>
        <v>5.0734000000000003E-8</v>
      </c>
      <c r="J39" s="6">
        <f>Plan19!$G48</f>
        <v>5.0413999999999997E-8</v>
      </c>
      <c r="K39" s="6">
        <f>Plan20!$G48</f>
        <v>3.9382000000000002E-8</v>
      </c>
      <c r="L39" s="7">
        <f t="shared" si="3"/>
        <v>4.1504099999999991E-8</v>
      </c>
      <c r="M39" s="6">
        <f t="shared" si="1"/>
        <v>3.6846433477083287E-8</v>
      </c>
      <c r="N39" s="6">
        <f t="shared" si="0"/>
        <v>4.6161766522916695E-8</v>
      </c>
      <c r="O39" s="6">
        <f t="shared" si="2"/>
        <v>4.6576665229167053E-9</v>
      </c>
    </row>
    <row r="40" spans="1:15" x14ac:dyDescent="0.25">
      <c r="A40" s="9">
        <v>39</v>
      </c>
      <c r="B40" s="6">
        <f>Plan11!$G49</f>
        <v>4.4508999999999998E-8</v>
      </c>
      <c r="C40" s="6">
        <f>Plan12!$G49</f>
        <v>4.4256999999999997E-8</v>
      </c>
      <c r="D40" s="6">
        <f>Plan13!$G49</f>
        <v>3.6698000000000002E-8</v>
      </c>
      <c r="E40" s="6">
        <f>Plan14!$G49</f>
        <v>3.8237E-8</v>
      </c>
      <c r="F40" s="6">
        <f>Plan15!$G49</f>
        <v>3.1219000000000003E-8</v>
      </c>
      <c r="G40" s="6">
        <f>Plan16!$G49</f>
        <v>4.2729999999999999E-8</v>
      </c>
      <c r="H40" s="6">
        <f>Plan17!$G49</f>
        <v>3.3928999999999999E-8</v>
      </c>
      <c r="I40" s="6">
        <f>Plan18!$G49</f>
        <v>4.9643000000000003E-8</v>
      </c>
      <c r="J40" s="6">
        <f>Plan19!$G49</f>
        <v>4.9619999999999997E-8</v>
      </c>
      <c r="K40" s="6">
        <f>Plan20!$G49</f>
        <v>3.9412999999999997E-8</v>
      </c>
      <c r="L40" s="7">
        <f t="shared" si="3"/>
        <v>4.1025499999999999E-8</v>
      </c>
      <c r="M40" s="6">
        <f t="shared" si="1"/>
        <v>3.656930991016139E-8</v>
      </c>
      <c r="N40" s="6">
        <f t="shared" si="0"/>
        <v>4.5481690089838608E-8</v>
      </c>
      <c r="O40" s="6">
        <f t="shared" si="2"/>
        <v>4.4561900898386078E-9</v>
      </c>
    </row>
    <row r="41" spans="1:15" x14ac:dyDescent="0.25">
      <c r="A41" s="10">
        <v>40</v>
      </c>
      <c r="B41" s="6">
        <f>Plan11!$G50</f>
        <v>4.4263999999999999E-8</v>
      </c>
      <c r="C41" s="6">
        <f>Plan12!$G50</f>
        <v>4.3853000000000002E-8</v>
      </c>
      <c r="D41" s="6">
        <f>Plan13!$G50</f>
        <v>3.4844999999999999E-8</v>
      </c>
      <c r="E41" s="6">
        <f>Plan14!$G50</f>
        <v>3.7467000000000001E-8</v>
      </c>
      <c r="F41" s="6">
        <f>Plan15!$G50</f>
        <v>3.0526999999999999E-8</v>
      </c>
      <c r="G41" s="6">
        <f>Plan16!$G50</f>
        <v>4.2395999999999998E-8</v>
      </c>
      <c r="H41" s="6">
        <f>Plan17!$G50</f>
        <v>3.3574E-8</v>
      </c>
      <c r="I41" s="6">
        <f>Plan18!$G50</f>
        <v>4.9153999999999998E-8</v>
      </c>
      <c r="J41" s="6">
        <f>Plan19!$G50</f>
        <v>4.8741E-8</v>
      </c>
      <c r="K41" s="6">
        <f>Plan20!$G50</f>
        <v>3.8151000000000002E-8</v>
      </c>
      <c r="L41" s="7">
        <f t="shared" si="3"/>
        <v>4.0297199999999991E-8</v>
      </c>
      <c r="M41" s="6">
        <f t="shared" si="1"/>
        <v>3.5738295301877219E-8</v>
      </c>
      <c r="N41" s="6">
        <f t="shared" si="0"/>
        <v>4.4856104698122763E-8</v>
      </c>
      <c r="O41" s="6">
        <f t="shared" si="2"/>
        <v>4.5589046981227689E-9</v>
      </c>
    </row>
    <row r="42" spans="1:15" x14ac:dyDescent="0.25">
      <c r="A42" s="9">
        <v>41</v>
      </c>
      <c r="B42" s="6">
        <f>Plan11!$G51</f>
        <v>4.5183000000000002E-8</v>
      </c>
      <c r="C42" s="6">
        <f>Plan12!$G51</f>
        <v>4.4324E-8</v>
      </c>
      <c r="D42" s="6">
        <f>Plan13!$G51</f>
        <v>3.4790000000000002E-8</v>
      </c>
      <c r="E42" s="6">
        <f>Plan14!$G51</f>
        <v>3.6588000000000003E-8</v>
      </c>
      <c r="F42" s="6">
        <f>Plan15!$G51</f>
        <v>3.1137999999999997E-8</v>
      </c>
      <c r="G42" s="6">
        <f>Plan16!$G51</f>
        <v>4.3217000000000002E-8</v>
      </c>
      <c r="H42" s="6">
        <f>Plan17!$G51</f>
        <v>3.4115999999999999E-8</v>
      </c>
      <c r="I42" s="6">
        <f>Plan18!$G51</f>
        <v>4.8871000000000001E-8</v>
      </c>
      <c r="J42" s="6">
        <f>Plan19!$G51</f>
        <v>4.7110000000000003E-8</v>
      </c>
      <c r="K42" s="6">
        <f>Plan20!$G51</f>
        <v>3.7838999999999999E-8</v>
      </c>
      <c r="L42" s="7">
        <f t="shared" si="3"/>
        <v>4.0317600000000002E-8</v>
      </c>
      <c r="M42" s="6">
        <f t="shared" si="1"/>
        <v>3.5915846314627827E-8</v>
      </c>
      <c r="N42" s="6">
        <f t="shared" si="0"/>
        <v>4.4719353685372178E-8</v>
      </c>
      <c r="O42" s="6">
        <f t="shared" si="2"/>
        <v>4.4017536853721748E-9</v>
      </c>
    </row>
    <row r="43" spans="1:15" x14ac:dyDescent="0.25">
      <c r="A43" s="9">
        <v>42</v>
      </c>
      <c r="B43" s="6">
        <f>Plan11!$G52</f>
        <v>4.5277999999999997E-8</v>
      </c>
      <c r="C43" s="6">
        <f>Plan12!$G52</f>
        <v>4.402E-8</v>
      </c>
      <c r="D43" s="6">
        <f>Plan13!$G52</f>
        <v>3.5743999999999999E-8</v>
      </c>
      <c r="E43" s="6">
        <f>Plan14!$G52</f>
        <v>3.6778E-8</v>
      </c>
      <c r="F43" s="6">
        <f>Plan15!$G52</f>
        <v>3.2269000000000003E-8</v>
      </c>
      <c r="G43" s="6">
        <f>Plan16!$G52</f>
        <v>4.2594999999999999E-8</v>
      </c>
      <c r="H43" s="6">
        <f>Plan17!$G52</f>
        <v>3.4154000000000003E-8</v>
      </c>
      <c r="I43" s="6">
        <f>Plan18!$G52</f>
        <v>4.8032000000000003E-8</v>
      </c>
      <c r="J43" s="6">
        <f>Plan19!$G52</f>
        <v>4.5398000000000001E-8</v>
      </c>
      <c r="K43" s="6">
        <f>Plan20!$G52</f>
        <v>3.8070000000000003E-8</v>
      </c>
      <c r="L43" s="7">
        <f t="shared" si="3"/>
        <v>4.0233800000000004E-8</v>
      </c>
      <c r="M43" s="6">
        <f t="shared" si="1"/>
        <v>3.6315481498230976E-8</v>
      </c>
      <c r="N43" s="6">
        <f t="shared" si="0"/>
        <v>4.4152118501769032E-8</v>
      </c>
      <c r="O43" s="6">
        <f t="shared" si="2"/>
        <v>3.9183185017690264E-9</v>
      </c>
    </row>
    <row r="44" spans="1:15" x14ac:dyDescent="0.25">
      <c r="A44" s="9">
        <v>43</v>
      </c>
      <c r="B44" s="6">
        <f>Plan11!$G53</f>
        <v>4.5097999999999998E-8</v>
      </c>
      <c r="C44" s="6">
        <f>Plan12!$G53</f>
        <v>4.3767999999999999E-8</v>
      </c>
      <c r="D44" s="6">
        <f>Plan13!$G53</f>
        <v>3.3490999999999999E-8</v>
      </c>
      <c r="E44" s="6">
        <f>Plan14!$G53</f>
        <v>3.6162000000000003E-8</v>
      </c>
      <c r="F44" s="6">
        <f>Plan15!$G53</f>
        <v>3.1876E-8</v>
      </c>
      <c r="G44" s="6">
        <f>Plan16!$G53</f>
        <v>4.2108999999999997E-8</v>
      </c>
      <c r="H44" s="6">
        <f>Plan17!$G53</f>
        <v>3.3269999999999999E-8</v>
      </c>
      <c r="I44" s="6">
        <f>Plan18!$G53</f>
        <v>4.7400000000000001E-8</v>
      </c>
      <c r="J44" s="6">
        <f>Plan19!$G53</f>
        <v>4.3791999999999999E-8</v>
      </c>
      <c r="K44" s="6">
        <f>Plan20!$G53</f>
        <v>3.6506999999999997E-8</v>
      </c>
      <c r="L44" s="7">
        <f t="shared" si="3"/>
        <v>3.9347300000000005E-8</v>
      </c>
      <c r="M44" s="6">
        <f t="shared" si="1"/>
        <v>3.5285868209327974E-8</v>
      </c>
      <c r="N44" s="6">
        <f t="shared" si="0"/>
        <v>4.3408731790672035E-8</v>
      </c>
      <c r="O44" s="6">
        <f t="shared" si="2"/>
        <v>4.0614317906720317E-9</v>
      </c>
    </row>
    <row r="45" spans="1:15" x14ac:dyDescent="0.25">
      <c r="A45" s="9">
        <v>44</v>
      </c>
      <c r="B45" s="6">
        <f>Plan11!$G54</f>
        <v>4.5880999999999999E-8</v>
      </c>
      <c r="C45" s="6">
        <f>Plan12!$G54</f>
        <v>4.4187999999999998E-8</v>
      </c>
      <c r="D45" s="6">
        <f>Plan13!$G54</f>
        <v>3.2783999999999998E-8</v>
      </c>
      <c r="E45" s="6">
        <f>Plan14!$G54</f>
        <v>3.5401E-8</v>
      </c>
      <c r="F45" s="6">
        <f>Plan15!$G54</f>
        <v>3.2057E-8</v>
      </c>
      <c r="G45" s="6">
        <f>Plan16!$G54</f>
        <v>4.2939999999999999E-8</v>
      </c>
      <c r="H45" s="6">
        <f>Plan17!$G54</f>
        <v>3.3826000000000001E-8</v>
      </c>
      <c r="I45" s="6">
        <f>Plan18!$G54</f>
        <v>4.7156000000000002E-8</v>
      </c>
      <c r="J45" s="6">
        <f>Plan19!$G54</f>
        <v>4.1993999999999999E-8</v>
      </c>
      <c r="K45" s="6">
        <f>Plan20!$G54</f>
        <v>3.5682000000000001E-8</v>
      </c>
      <c r="L45" s="7">
        <f t="shared" si="3"/>
        <v>3.9190899999999998E-8</v>
      </c>
      <c r="M45" s="6">
        <f t="shared" si="1"/>
        <v>3.5043727343337038E-8</v>
      </c>
      <c r="N45" s="6">
        <f t="shared" si="0"/>
        <v>4.3338072656662958E-8</v>
      </c>
      <c r="O45" s="6">
        <f t="shared" si="2"/>
        <v>4.1471726566629616E-9</v>
      </c>
    </row>
    <row r="46" spans="1:15" x14ac:dyDescent="0.25">
      <c r="A46" s="9">
        <v>45</v>
      </c>
      <c r="B46" s="6">
        <f>Plan11!$G55</f>
        <v>4.6141000000000003E-8</v>
      </c>
      <c r="C46" s="6">
        <f>Plan12!$G55</f>
        <v>4.4497999999999999E-8</v>
      </c>
      <c r="D46" s="6">
        <f>Plan13!$G55</f>
        <v>3.3598000000000001E-8</v>
      </c>
      <c r="E46" s="6">
        <f>Plan14!$G55</f>
        <v>3.4923000000000001E-8</v>
      </c>
      <c r="F46" s="6">
        <f>Plan15!$G55</f>
        <v>3.2537000000000002E-8</v>
      </c>
      <c r="G46" s="6">
        <f>Plan16!$G55</f>
        <v>4.2651999999999997E-8</v>
      </c>
      <c r="H46" s="6">
        <f>Plan17!$G55</f>
        <v>3.4512999999999999E-8</v>
      </c>
      <c r="I46" s="6">
        <f>Plan18!$G55</f>
        <v>4.6777999999999997E-8</v>
      </c>
      <c r="J46" s="6">
        <f>Plan19!$G55</f>
        <v>4.1109000000000001E-8</v>
      </c>
      <c r="K46" s="6">
        <f>Plan20!$G55</f>
        <v>3.5465E-8</v>
      </c>
      <c r="L46" s="7">
        <f t="shared" si="3"/>
        <v>3.9221399999999999E-8</v>
      </c>
      <c r="M46" s="6">
        <f t="shared" si="1"/>
        <v>3.523691076336039E-8</v>
      </c>
      <c r="N46" s="6">
        <f t="shared" si="0"/>
        <v>4.3205889236639609E-8</v>
      </c>
      <c r="O46" s="6">
        <f t="shared" si="2"/>
        <v>3.9844892366396078E-9</v>
      </c>
    </row>
    <row r="47" spans="1:15" x14ac:dyDescent="0.25">
      <c r="A47" s="9">
        <v>46</v>
      </c>
      <c r="B47" s="6">
        <f>Plan11!$G56</f>
        <v>4.5746999999999999E-8</v>
      </c>
      <c r="C47" s="6">
        <f>Plan12!$G56</f>
        <v>4.4193999999999999E-8</v>
      </c>
      <c r="D47" s="6">
        <f>Plan13!$G56</f>
        <v>3.2036000000000003E-8</v>
      </c>
      <c r="E47" s="6">
        <f>Plan14!$G56</f>
        <v>3.4438E-8</v>
      </c>
      <c r="F47" s="6">
        <f>Plan15!$G56</f>
        <v>3.1777000000000001E-8</v>
      </c>
      <c r="G47" s="6">
        <f>Plan16!$G56</f>
        <v>4.2340000000000001E-8</v>
      </c>
      <c r="H47" s="6">
        <f>Plan17!$G56</f>
        <v>3.4090999999999997E-8</v>
      </c>
      <c r="I47" s="6">
        <f>Plan18!$G56</f>
        <v>4.6153999999999998E-8</v>
      </c>
      <c r="J47" s="6">
        <f>Plan19!$G56</f>
        <v>4.0705E-8</v>
      </c>
      <c r="K47" s="6">
        <f>Plan20!$G56</f>
        <v>3.4855999999999998E-8</v>
      </c>
      <c r="L47" s="7">
        <f t="shared" si="3"/>
        <v>3.8633800000000003E-8</v>
      </c>
      <c r="M47" s="6">
        <f t="shared" si="1"/>
        <v>3.4509520495023639E-8</v>
      </c>
      <c r="N47" s="6">
        <f t="shared" si="0"/>
        <v>4.2758079504976367E-8</v>
      </c>
      <c r="O47" s="6">
        <f t="shared" si="2"/>
        <v>4.1242795049763665E-9</v>
      </c>
    </row>
    <row r="48" spans="1:15" x14ac:dyDescent="0.25">
      <c r="A48" s="9">
        <v>47</v>
      </c>
      <c r="B48" s="6">
        <f>Plan11!$G57</f>
        <v>4.6487999999999999E-8</v>
      </c>
      <c r="C48" s="6">
        <f>Plan12!$G57</f>
        <v>4.4108E-8</v>
      </c>
      <c r="D48" s="6">
        <f>Plan13!$G57</f>
        <v>3.0756000000000001E-8</v>
      </c>
      <c r="E48" s="6">
        <f>Plan14!$G57</f>
        <v>3.3752999999999998E-8</v>
      </c>
      <c r="F48" s="6">
        <f>Plan15!$G57</f>
        <v>3.1143999999999998E-8</v>
      </c>
      <c r="G48" s="6">
        <f>Plan16!$G57</f>
        <v>4.2657999999999997E-8</v>
      </c>
      <c r="H48" s="6">
        <f>Plan17!$G57</f>
        <v>3.4516000000000003E-8</v>
      </c>
      <c r="I48" s="6">
        <f>Plan18!$G57</f>
        <v>4.6199000000000002E-8</v>
      </c>
      <c r="J48" s="6">
        <f>Plan19!$G57</f>
        <v>4.0129000000000002E-8</v>
      </c>
      <c r="K48" s="6">
        <f>Plan20!$G57</f>
        <v>3.3697000000000001E-8</v>
      </c>
      <c r="L48" s="7">
        <f t="shared" si="3"/>
        <v>3.8344800000000006E-8</v>
      </c>
      <c r="M48" s="6">
        <f t="shared" si="1"/>
        <v>3.3885107679066254E-8</v>
      </c>
      <c r="N48" s="6">
        <f t="shared" si="0"/>
        <v>4.2804492320933758E-8</v>
      </c>
      <c r="O48" s="6">
        <f t="shared" si="2"/>
        <v>4.4596923209337487E-9</v>
      </c>
    </row>
    <row r="49" spans="1:15" x14ac:dyDescent="0.25">
      <c r="A49" s="9">
        <v>48</v>
      </c>
      <c r="B49" s="6">
        <f>Plan11!$G58</f>
        <v>4.6962000000000001E-8</v>
      </c>
      <c r="C49" s="6">
        <f>Plan12!$G58</f>
        <v>4.4320999999999997E-8</v>
      </c>
      <c r="D49" s="6">
        <f>Plan13!$G58</f>
        <v>3.0851999999999997E-8</v>
      </c>
      <c r="E49" s="6">
        <f>Plan14!$G58</f>
        <v>3.3302999999999997E-8</v>
      </c>
      <c r="F49" s="6">
        <f>Plan15!$G58</f>
        <v>3.1236000000000003E-8</v>
      </c>
      <c r="G49" s="6">
        <f>Plan16!$G58</f>
        <v>4.2839999999999998E-8</v>
      </c>
      <c r="H49" s="6">
        <f>Plan17!$G58</f>
        <v>3.498E-8</v>
      </c>
      <c r="I49" s="6">
        <f>Plan18!$G58</f>
        <v>4.6205999999999997E-8</v>
      </c>
      <c r="J49" s="6">
        <f>Plan19!$G58</f>
        <v>3.9669999999999997E-8</v>
      </c>
      <c r="K49" s="6">
        <f>Plan20!$G58</f>
        <v>3.3175999999999999E-8</v>
      </c>
      <c r="L49" s="7">
        <f t="shared" si="3"/>
        <v>3.8354599999999993E-8</v>
      </c>
      <c r="M49" s="6">
        <f t="shared" si="1"/>
        <v>3.3806052526988611E-8</v>
      </c>
      <c r="N49" s="6">
        <f t="shared" si="0"/>
        <v>4.2903147473011376E-8</v>
      </c>
      <c r="O49" s="6">
        <f t="shared" si="2"/>
        <v>4.5485474730113817E-9</v>
      </c>
    </row>
    <row r="50" spans="1:15" x14ac:dyDescent="0.25">
      <c r="A50" s="9">
        <v>49</v>
      </c>
      <c r="B50" s="6">
        <f>Plan11!$G59</f>
        <v>4.6534999999999999E-8</v>
      </c>
      <c r="C50" s="6">
        <f>Plan12!$G59</f>
        <v>4.3946000000000002E-8</v>
      </c>
      <c r="D50" s="6">
        <f>Plan13!$G59</f>
        <v>3.0594999999999997E-8</v>
      </c>
      <c r="E50" s="6">
        <f>Plan14!$G59</f>
        <v>3.3311E-8</v>
      </c>
      <c r="F50" s="6">
        <f>Plan15!$G59</f>
        <v>3.1114999999999998E-8</v>
      </c>
      <c r="G50" s="6">
        <f>Plan16!$G59</f>
        <v>4.2625E-8</v>
      </c>
      <c r="H50" s="6">
        <f>Plan17!$G59</f>
        <v>3.4907999999999997E-8</v>
      </c>
      <c r="I50" s="6">
        <f>Plan18!$G59</f>
        <v>4.5675999999999998E-8</v>
      </c>
      <c r="J50" s="6">
        <f>Plan19!$G59</f>
        <v>3.9440000000000001E-8</v>
      </c>
      <c r="K50" s="6">
        <f>Plan20!$G59</f>
        <v>3.3185999999999997E-8</v>
      </c>
      <c r="L50" s="7">
        <f t="shared" si="3"/>
        <v>3.81337E-8</v>
      </c>
      <c r="M50" s="6">
        <f t="shared" si="1"/>
        <v>3.3689479908596316E-8</v>
      </c>
      <c r="N50" s="6">
        <f t="shared" si="0"/>
        <v>4.2577920091403683E-8</v>
      </c>
      <c r="O50" s="6">
        <f t="shared" si="2"/>
        <v>4.4442200914036808E-9</v>
      </c>
    </row>
    <row r="51" spans="1:15" x14ac:dyDescent="0.25">
      <c r="A51" s="10">
        <v>50</v>
      </c>
      <c r="B51" s="6">
        <f>Plan11!$G60</f>
        <v>4.7029999999999998E-8</v>
      </c>
      <c r="C51" s="6">
        <f>Plan12!$G60</f>
        <v>4.3602000000000002E-8</v>
      </c>
      <c r="D51" s="6">
        <f>Plan13!$G60</f>
        <v>2.8836999999999999E-8</v>
      </c>
      <c r="E51" s="6">
        <f>Plan14!$G60</f>
        <v>3.2824000000000003E-8</v>
      </c>
      <c r="F51" s="6">
        <f>Plan15!$G60</f>
        <v>3.0583999999999998E-8</v>
      </c>
      <c r="G51" s="6">
        <f>Plan16!$G60</f>
        <v>4.2337999999999998E-8</v>
      </c>
      <c r="H51" s="6">
        <f>Plan17!$G60</f>
        <v>3.4920999999999999E-8</v>
      </c>
      <c r="I51" s="6">
        <f>Plan18!$G60</f>
        <v>4.5550000000000001E-8</v>
      </c>
      <c r="J51" s="6">
        <f>Plan19!$G60</f>
        <v>3.9296000000000003E-8</v>
      </c>
      <c r="K51" s="6">
        <f>Plan20!$G60</f>
        <v>3.2071000000000003E-8</v>
      </c>
      <c r="L51" s="7">
        <f t="shared" si="3"/>
        <v>3.7705299999999996E-8</v>
      </c>
      <c r="M51" s="6">
        <f t="shared" si="1"/>
        <v>3.2936629143286684E-8</v>
      </c>
      <c r="N51" s="6">
        <f t="shared" si="0"/>
        <v>4.2473970856713307E-8</v>
      </c>
      <c r="O51" s="6">
        <f t="shared" si="2"/>
        <v>4.7686708567133115E-9</v>
      </c>
    </row>
    <row r="52" spans="1:15" x14ac:dyDescent="0.25">
      <c r="A52" s="9">
        <v>51</v>
      </c>
      <c r="B52" s="6">
        <f>Plan11!$G61</f>
        <v>4.7598E-8</v>
      </c>
      <c r="C52" s="6">
        <f>Plan12!$G61</f>
        <v>4.3845E-8</v>
      </c>
      <c r="D52" s="6">
        <f>Plan13!$G61</f>
        <v>2.8530000000000001E-8</v>
      </c>
      <c r="E52" s="6">
        <f>Plan14!$G61</f>
        <v>3.2117000000000002E-8</v>
      </c>
      <c r="F52" s="6">
        <f>Plan15!$G61</f>
        <v>3.0372000000000002E-8</v>
      </c>
      <c r="G52" s="6">
        <f>Plan16!$G61</f>
        <v>4.2588999999999998E-8</v>
      </c>
      <c r="H52" s="6">
        <f>Plan17!$G61</f>
        <v>3.5589000000000002E-8</v>
      </c>
      <c r="I52" s="6">
        <f>Plan18!$G61</f>
        <v>4.5342000000000003E-8</v>
      </c>
      <c r="J52" s="6">
        <f>Plan19!$G61</f>
        <v>3.8676000000000002E-8</v>
      </c>
      <c r="K52" s="6">
        <f>Plan20!$G61</f>
        <v>3.2013999999999998E-8</v>
      </c>
      <c r="L52" s="7">
        <f t="shared" si="3"/>
        <v>3.76672E-8</v>
      </c>
      <c r="M52" s="6">
        <f t="shared" si="1"/>
        <v>3.2752993546719887E-8</v>
      </c>
      <c r="N52" s="6">
        <f t="shared" si="0"/>
        <v>4.2581406453280113E-8</v>
      </c>
      <c r="O52" s="6">
        <f t="shared" si="2"/>
        <v>4.9142064532801142E-9</v>
      </c>
    </row>
    <row r="53" spans="1:15" x14ac:dyDescent="0.25">
      <c r="A53" s="9">
        <v>52</v>
      </c>
      <c r="B53" s="6">
        <f>Plan11!$G62</f>
        <v>4.7221999999999998E-8</v>
      </c>
      <c r="C53" s="6">
        <f>Plan12!$G62</f>
        <v>4.3577E-8</v>
      </c>
      <c r="D53" s="6">
        <f>Plan13!$G62</f>
        <v>2.9331E-8</v>
      </c>
      <c r="E53" s="6">
        <f>Plan14!$G62</f>
        <v>3.2141999999999998E-8</v>
      </c>
      <c r="F53" s="6">
        <f>Plan15!$G62</f>
        <v>3.0736999999999999E-8</v>
      </c>
      <c r="G53" s="6">
        <f>Plan16!$G62</f>
        <v>4.1974999999999997E-8</v>
      </c>
      <c r="H53" s="6">
        <f>Plan17!$G62</f>
        <v>3.5968000000000002E-8</v>
      </c>
      <c r="I53" s="6">
        <f>Plan18!$G62</f>
        <v>4.5005999999999999E-8</v>
      </c>
      <c r="J53" s="6">
        <f>Plan19!$G62</f>
        <v>3.8243E-8</v>
      </c>
      <c r="K53" s="6">
        <f>Plan20!$G62</f>
        <v>3.2391000000000002E-8</v>
      </c>
      <c r="L53" s="7">
        <f t="shared" si="3"/>
        <v>3.7659200000000004E-8</v>
      </c>
      <c r="M53" s="6">
        <f t="shared" si="1"/>
        <v>3.302475650983526E-8</v>
      </c>
      <c r="N53" s="6">
        <f t="shared" si="0"/>
        <v>4.2293643490164748E-8</v>
      </c>
      <c r="O53" s="6">
        <f t="shared" si="2"/>
        <v>4.6344434901647425E-9</v>
      </c>
    </row>
    <row r="54" spans="1:15" x14ac:dyDescent="0.25">
      <c r="A54" s="9">
        <v>53</v>
      </c>
      <c r="B54" s="6">
        <f>Plan11!$G63</f>
        <v>4.7224E-8</v>
      </c>
      <c r="C54" s="6">
        <f>Plan12!$G63</f>
        <v>4.3142999999999998E-8</v>
      </c>
      <c r="D54" s="6">
        <f>Plan13!$G63</f>
        <v>2.803E-8</v>
      </c>
      <c r="E54" s="6">
        <f>Plan14!$G63</f>
        <v>3.1786999999999999E-8</v>
      </c>
      <c r="F54" s="6">
        <f>Plan15!$G63</f>
        <v>3.0372999999999997E-8</v>
      </c>
      <c r="G54" s="6">
        <f>Plan16!$G63</f>
        <v>4.1601000000000003E-8</v>
      </c>
      <c r="H54" s="6">
        <f>Plan17!$G63</f>
        <v>3.5821E-8</v>
      </c>
      <c r="I54" s="6">
        <f>Plan18!$G63</f>
        <v>4.4618000000000003E-8</v>
      </c>
      <c r="J54" s="6">
        <f>Plan19!$G63</f>
        <v>3.8233000000000002E-8</v>
      </c>
      <c r="K54" s="6">
        <f>Plan20!$G63</f>
        <v>3.2076000000000002E-8</v>
      </c>
      <c r="L54" s="7">
        <f t="shared" si="3"/>
        <v>3.7290600000000004E-8</v>
      </c>
      <c r="M54" s="6">
        <f t="shared" si="1"/>
        <v>3.2525521248592291E-8</v>
      </c>
      <c r="N54" s="6">
        <f t="shared" si="0"/>
        <v>4.2055678751407718E-8</v>
      </c>
      <c r="O54" s="6">
        <f t="shared" si="2"/>
        <v>4.7650787514077161E-9</v>
      </c>
    </row>
    <row r="55" spans="1:15" x14ac:dyDescent="0.25">
      <c r="A55" s="9">
        <v>54</v>
      </c>
      <c r="B55" s="6">
        <f>Plan11!$G64</f>
        <v>4.7644E-8</v>
      </c>
      <c r="C55" s="6">
        <f>Plan12!$G64</f>
        <v>4.3353999999999999E-8</v>
      </c>
      <c r="D55" s="6">
        <f>Plan13!$G64</f>
        <v>2.7511999999999998E-8</v>
      </c>
      <c r="E55" s="6">
        <f>Plan14!$G64</f>
        <v>3.1055999999999997E-8</v>
      </c>
      <c r="F55" s="6">
        <f>Plan15!$G64</f>
        <v>2.9993999999999997E-8</v>
      </c>
      <c r="G55" s="6">
        <f>Plan16!$G64</f>
        <v>4.2068999999999998E-8</v>
      </c>
      <c r="H55" s="6">
        <f>Plan17!$G64</f>
        <v>3.6348000000000002E-8</v>
      </c>
      <c r="I55" s="6">
        <f>Plan18!$G64</f>
        <v>4.4447000000000001E-8</v>
      </c>
      <c r="J55" s="6">
        <f>Plan19!$G64</f>
        <v>3.7930999999999997E-8</v>
      </c>
      <c r="K55" s="6">
        <f>Plan20!$G64</f>
        <v>3.1865000000000001E-8</v>
      </c>
      <c r="L55" s="7">
        <f t="shared" si="3"/>
        <v>3.7222000000000001E-8</v>
      </c>
      <c r="M55" s="6">
        <f t="shared" si="1"/>
        <v>3.2240542570825486E-8</v>
      </c>
      <c r="N55" s="6">
        <f t="shared" si="0"/>
        <v>4.2203457429174516E-8</v>
      </c>
      <c r="O55" s="6">
        <f t="shared" si="2"/>
        <v>4.9814574291745157E-9</v>
      </c>
    </row>
    <row r="56" spans="1:15" x14ac:dyDescent="0.25">
      <c r="A56" s="9">
        <v>55</v>
      </c>
      <c r="B56" s="6">
        <f>Plan11!$G65</f>
        <v>4.7647000000000003E-8</v>
      </c>
      <c r="C56" s="6">
        <f>Plan12!$G65</f>
        <v>4.3289999999999999E-8</v>
      </c>
      <c r="D56" s="6">
        <f>Plan13!$G65</f>
        <v>2.8325000000000001E-8</v>
      </c>
      <c r="E56" s="6">
        <f>Plan14!$G65</f>
        <v>3.0973000000000002E-8</v>
      </c>
      <c r="F56" s="6">
        <f>Plan15!$G65</f>
        <v>3.0442000000000002E-8</v>
      </c>
      <c r="G56" s="6">
        <f>Plan16!$G65</f>
        <v>4.1689999999999998E-8</v>
      </c>
      <c r="H56" s="6">
        <f>Plan17!$G65</f>
        <v>3.6883E-8</v>
      </c>
      <c r="I56" s="6">
        <f>Plan18!$G65</f>
        <v>4.4290000000000002E-8</v>
      </c>
      <c r="J56" s="6">
        <f>Plan19!$G65</f>
        <v>3.735E-8</v>
      </c>
      <c r="K56" s="6">
        <f>Plan20!$G65</f>
        <v>3.2117000000000002E-8</v>
      </c>
      <c r="L56" s="7">
        <f t="shared" si="3"/>
        <v>3.7300700000000001E-8</v>
      </c>
      <c r="M56" s="6">
        <f t="shared" si="1"/>
        <v>3.2497639028893338E-8</v>
      </c>
      <c r="N56" s="6">
        <f t="shared" si="0"/>
        <v>4.2103760971106665E-8</v>
      </c>
      <c r="O56" s="6">
        <f t="shared" si="2"/>
        <v>4.8030609711066652E-9</v>
      </c>
    </row>
    <row r="57" spans="1:15" x14ac:dyDescent="0.25">
      <c r="A57" s="9">
        <v>56</v>
      </c>
      <c r="B57" s="6">
        <f>Plan11!$G66</f>
        <v>4.7592E-8</v>
      </c>
      <c r="C57" s="6">
        <f>Plan12!$G66</f>
        <v>4.3013999999999997E-8</v>
      </c>
      <c r="D57" s="6">
        <f>Plan13!$G66</f>
        <v>2.7380999999999999E-8</v>
      </c>
      <c r="E57" s="6">
        <f>Plan14!$G66</f>
        <v>3.0867000000000001E-8</v>
      </c>
      <c r="F57" s="6">
        <f>Plan15!$G66</f>
        <v>3.0335E-8</v>
      </c>
      <c r="G57" s="6">
        <f>Plan16!$G66</f>
        <v>4.1465000000000001E-8</v>
      </c>
      <c r="H57" s="6">
        <f>Plan17!$G66</f>
        <v>3.6512999999999997E-8</v>
      </c>
      <c r="I57" s="6">
        <f>Plan18!$G66</f>
        <v>4.3618000000000001E-8</v>
      </c>
      <c r="J57" s="6">
        <f>Plan19!$G66</f>
        <v>3.7123000000000001E-8</v>
      </c>
      <c r="K57" s="6">
        <f>Plan20!$G66</f>
        <v>3.2376999999999999E-8</v>
      </c>
      <c r="L57" s="7">
        <f t="shared" si="3"/>
        <v>3.70285E-8</v>
      </c>
      <c r="M57" s="6">
        <f t="shared" si="1"/>
        <v>3.2210405053294071E-8</v>
      </c>
      <c r="N57" s="6">
        <f t="shared" si="0"/>
        <v>4.1846594946705928E-8</v>
      </c>
      <c r="O57" s="6">
        <f t="shared" si="2"/>
        <v>4.8180949467059312E-9</v>
      </c>
    </row>
    <row r="58" spans="1:15" x14ac:dyDescent="0.25">
      <c r="A58" s="9">
        <v>57</v>
      </c>
      <c r="B58" s="6">
        <f>Plan11!$G67</f>
        <v>4.8107000000000002E-8</v>
      </c>
      <c r="C58" s="6">
        <f>Plan12!$G67</f>
        <v>4.3064000000000001E-8</v>
      </c>
      <c r="D58" s="6">
        <f>Plan13!$G67</f>
        <v>2.6321999999999999E-8</v>
      </c>
      <c r="E58" s="6">
        <f>Plan14!$G67</f>
        <v>3.0446E-8</v>
      </c>
      <c r="F58" s="6">
        <f>Plan15!$G67</f>
        <v>2.9812999999999997E-8</v>
      </c>
      <c r="G58" s="6">
        <f>Plan16!$G67</f>
        <v>4.1491999999999999E-8</v>
      </c>
      <c r="H58" s="6">
        <f>Plan17!$G67</f>
        <v>3.7008999999999997E-8</v>
      </c>
      <c r="I58" s="6">
        <f>Plan18!$G67</f>
        <v>4.3449000000000001E-8</v>
      </c>
      <c r="J58" s="6">
        <f>Plan19!$G67</f>
        <v>3.6675999999999997E-8</v>
      </c>
      <c r="K58" s="6">
        <f>Plan20!$G67</f>
        <v>3.1740999999999999E-8</v>
      </c>
      <c r="L58" s="7">
        <f t="shared" si="3"/>
        <v>3.68119E-8</v>
      </c>
      <c r="M58" s="6">
        <f t="shared" si="1"/>
        <v>3.170912603134373E-8</v>
      </c>
      <c r="N58" s="6">
        <f t="shared" si="0"/>
        <v>4.1914673968656271E-8</v>
      </c>
      <c r="O58" s="6">
        <f t="shared" si="2"/>
        <v>5.1027739686562698E-9</v>
      </c>
    </row>
    <row r="59" spans="1:15" x14ac:dyDescent="0.25">
      <c r="A59" s="9">
        <v>58</v>
      </c>
      <c r="B59" s="6">
        <f>Plan11!$G68</f>
        <v>4.8496E-8</v>
      </c>
      <c r="C59" s="6">
        <f>Plan12!$G68</f>
        <v>4.3316000000000002E-8</v>
      </c>
      <c r="D59" s="6">
        <f>Plan13!$G68</f>
        <v>2.6886E-8</v>
      </c>
      <c r="E59" s="6">
        <f>Plan14!$G68</f>
        <v>3.0091000000000001E-8</v>
      </c>
      <c r="F59" s="6">
        <f>Plan15!$G68</f>
        <v>3.0313000000000002E-8</v>
      </c>
      <c r="G59" s="6">
        <f>Plan16!$G68</f>
        <v>4.1233000000000003E-8</v>
      </c>
      <c r="H59" s="6">
        <f>Plan17!$G68</f>
        <v>3.7720000000000003E-8</v>
      </c>
      <c r="I59" s="6">
        <f>Plan18!$G68</f>
        <v>4.3118999999999997E-8</v>
      </c>
      <c r="J59" s="6">
        <f>Plan19!$G68</f>
        <v>3.6080999999999997E-8</v>
      </c>
      <c r="K59" s="6">
        <f>Plan20!$G68</f>
        <v>3.1889000000000002E-8</v>
      </c>
      <c r="L59" s="7">
        <f t="shared" si="3"/>
        <v>3.6914400000000004E-8</v>
      </c>
      <c r="M59" s="6">
        <f t="shared" si="1"/>
        <v>3.1858505021148982E-8</v>
      </c>
      <c r="N59" s="6">
        <f t="shared" si="0"/>
        <v>4.1970294978851026E-8</v>
      </c>
      <c r="O59" s="6">
        <f t="shared" si="2"/>
        <v>5.0558949788510228E-9</v>
      </c>
    </row>
    <row r="60" spans="1:15" x14ac:dyDescent="0.25">
      <c r="A60" s="9">
        <v>59</v>
      </c>
      <c r="B60" s="6">
        <f>Plan11!$G69</f>
        <v>4.8152E-8</v>
      </c>
      <c r="C60" s="6">
        <f>Plan12!$G69</f>
        <v>4.3133E-8</v>
      </c>
      <c r="D60" s="6">
        <f>Plan13!$G69</f>
        <v>2.6959E-8</v>
      </c>
      <c r="E60" s="6">
        <f>Plan14!$G69</f>
        <v>3.0098999999999997E-8</v>
      </c>
      <c r="F60" s="6">
        <f>Plan15!$G69</f>
        <v>3.0762000000000001E-8</v>
      </c>
      <c r="G60" s="6">
        <f>Plan16!$G69</f>
        <v>4.0929000000000002E-8</v>
      </c>
      <c r="H60" s="6">
        <f>Plan17!$G69</f>
        <v>3.7815999999999999E-8</v>
      </c>
      <c r="I60" s="6">
        <f>Plan18!$G69</f>
        <v>4.2516000000000002E-8</v>
      </c>
      <c r="J60" s="6">
        <f>Plan19!$G69</f>
        <v>3.6067000000000001E-8</v>
      </c>
      <c r="K60" s="6">
        <f>Plan20!$G69</f>
        <v>3.1713000000000001E-8</v>
      </c>
      <c r="L60" s="7">
        <f t="shared" si="3"/>
        <v>3.6814599999999994E-8</v>
      </c>
      <c r="M60" s="6">
        <f t="shared" si="1"/>
        <v>3.1902556671089079E-8</v>
      </c>
      <c r="N60" s="6">
        <f t="shared" si="0"/>
        <v>4.172664332891091E-8</v>
      </c>
      <c r="O60" s="6">
        <f t="shared" si="2"/>
        <v>4.9120433289109163E-9</v>
      </c>
    </row>
    <row r="61" spans="1:15" x14ac:dyDescent="0.25">
      <c r="A61" s="10">
        <v>60</v>
      </c>
      <c r="B61" s="6">
        <f>Plan11!$G70</f>
        <v>4.8486000000000002E-8</v>
      </c>
      <c r="C61" s="6">
        <f>Plan12!$G70</f>
        <v>4.2838000000000003E-8</v>
      </c>
      <c r="D61" s="6">
        <f>Plan13!$G70</f>
        <v>2.5944999999999998E-8</v>
      </c>
      <c r="E61" s="6">
        <f>Plan14!$G70</f>
        <v>2.9662000000000001E-8</v>
      </c>
      <c r="F61" s="6">
        <f>Plan15!$G70</f>
        <v>3.0412000000000001E-8</v>
      </c>
      <c r="G61" s="6">
        <f>Plan16!$G70</f>
        <v>4.0581999999999999E-8</v>
      </c>
      <c r="H61" s="6">
        <f>Plan17!$G70</f>
        <v>3.8203000000000001E-8</v>
      </c>
      <c r="I61" s="6">
        <f>Plan18!$G70</f>
        <v>4.231E-8</v>
      </c>
      <c r="J61" s="6">
        <f>Plan19!$G70</f>
        <v>3.5818999999999998E-8</v>
      </c>
      <c r="K61" s="6">
        <f>Plan20!$G70</f>
        <v>3.1084999999999997E-8</v>
      </c>
      <c r="L61" s="7">
        <f t="shared" si="3"/>
        <v>3.6534199999999999E-8</v>
      </c>
      <c r="M61" s="6">
        <f t="shared" si="1"/>
        <v>3.1407986954127956E-8</v>
      </c>
      <c r="N61" s="6">
        <f t="shared" si="0"/>
        <v>4.1660413045872042E-8</v>
      </c>
      <c r="O61" s="6">
        <f t="shared" si="2"/>
        <v>5.1262130458720445E-9</v>
      </c>
    </row>
    <row r="62" spans="1:15" x14ac:dyDescent="0.25">
      <c r="A62" s="9">
        <v>61</v>
      </c>
      <c r="B62" s="6">
        <f>Plan11!$G71</f>
        <v>4.8646999999999999E-8</v>
      </c>
      <c r="C62" s="6">
        <f>Plan12!$G71</f>
        <v>4.3022E-8</v>
      </c>
      <c r="D62" s="6">
        <f>Plan13!$G71</f>
        <v>2.6139E-8</v>
      </c>
      <c r="E62" s="6">
        <f>Plan14!$G71</f>
        <v>2.9267E-8</v>
      </c>
      <c r="F62" s="6">
        <f>Plan15!$G71</f>
        <v>3.0576000000000002E-8</v>
      </c>
      <c r="G62" s="6">
        <f>Plan16!$G71</f>
        <v>4.0574000000000003E-8</v>
      </c>
      <c r="H62" s="6">
        <f>Plan17!$G71</f>
        <v>3.8803E-8</v>
      </c>
      <c r="I62" s="6">
        <f>Plan18!$G71</f>
        <v>4.2078000000000001E-8</v>
      </c>
      <c r="J62" s="6">
        <f>Plan19!$G71</f>
        <v>3.5526000000000003E-8</v>
      </c>
      <c r="K62" s="6">
        <f>Plan20!$G71</f>
        <v>3.1281000000000001E-8</v>
      </c>
      <c r="L62" s="7">
        <f t="shared" si="3"/>
        <v>3.6591300000000003E-8</v>
      </c>
      <c r="M62" s="6">
        <f t="shared" si="1"/>
        <v>3.1444014856122919E-8</v>
      </c>
      <c r="N62" s="6">
        <f t="shared" si="0"/>
        <v>4.1738585143877087E-8</v>
      </c>
      <c r="O62" s="6">
        <f t="shared" si="2"/>
        <v>5.1472851438770838E-9</v>
      </c>
    </row>
    <row r="63" spans="1:15" x14ac:dyDescent="0.25">
      <c r="A63" s="9">
        <v>62</v>
      </c>
      <c r="B63" s="6">
        <f>Plan11!$G72</f>
        <v>4.8142000000000002E-8</v>
      </c>
      <c r="C63" s="6">
        <f>Plan12!$G72</f>
        <v>4.2796000000000002E-8</v>
      </c>
      <c r="D63" s="6">
        <f>Plan13!$G72</f>
        <v>2.7021999999999999E-8</v>
      </c>
      <c r="E63" s="6">
        <f>Plan14!$G72</f>
        <v>2.9329999999999999E-8</v>
      </c>
      <c r="F63" s="6">
        <f>Plan15!$G72</f>
        <v>3.1149000000000003E-8</v>
      </c>
      <c r="G63" s="6">
        <f>Plan16!$G72</f>
        <v>4.0177999999999998E-8</v>
      </c>
      <c r="H63" s="6">
        <f>Plan17!$G72</f>
        <v>3.8994999999999999E-8</v>
      </c>
      <c r="I63" s="6">
        <f>Plan18!$G72</f>
        <v>4.1683999999999998E-8</v>
      </c>
      <c r="J63" s="6">
        <f>Plan19!$G72</f>
        <v>3.5490000000000002E-8</v>
      </c>
      <c r="K63" s="6">
        <f>Plan20!$G72</f>
        <v>3.1161999999999998E-8</v>
      </c>
      <c r="L63" s="7">
        <f t="shared" si="3"/>
        <v>3.65948E-8</v>
      </c>
      <c r="M63" s="6">
        <f t="shared" si="1"/>
        <v>3.1701578628080005E-8</v>
      </c>
      <c r="N63" s="6">
        <f t="shared" si="0"/>
        <v>4.1488021371919995E-8</v>
      </c>
      <c r="O63" s="6">
        <f t="shared" si="2"/>
        <v>4.893221371919994E-9</v>
      </c>
    </row>
    <row r="64" spans="1:15" x14ac:dyDescent="0.25">
      <c r="A64" s="9">
        <v>63</v>
      </c>
      <c r="B64" s="6">
        <f>Plan11!$G73</f>
        <v>4.8435999999999998E-8</v>
      </c>
      <c r="C64" s="6">
        <f>Plan12!$G73</f>
        <v>4.2492000000000001E-8</v>
      </c>
      <c r="D64" s="6">
        <f>Plan13!$G73</f>
        <v>2.6192999999999998E-8</v>
      </c>
      <c r="E64" s="6">
        <f>Plan14!$G73</f>
        <v>2.9137000000000001E-8</v>
      </c>
      <c r="F64" s="6">
        <f>Plan15!$G73</f>
        <v>3.0931000000000001E-8</v>
      </c>
      <c r="G64" s="6">
        <f>Plan16!$G73</f>
        <v>3.9757000000000003E-8</v>
      </c>
      <c r="H64" s="6">
        <f>Plan17!$G73</f>
        <v>3.8852999999999997E-8</v>
      </c>
      <c r="I64" s="6">
        <f>Plan18!$G73</f>
        <v>4.1185000000000001E-8</v>
      </c>
      <c r="J64" s="6">
        <f>Plan19!$G73</f>
        <v>3.5386999999999998E-8</v>
      </c>
      <c r="K64" s="6">
        <f>Plan20!$G73</f>
        <v>3.1131000000000003E-8</v>
      </c>
      <c r="L64" s="7">
        <f t="shared" si="3"/>
        <v>3.6350200000000002E-8</v>
      </c>
      <c r="M64" s="6">
        <f t="shared" si="1"/>
        <v>3.1361082870704684E-8</v>
      </c>
      <c r="N64" s="6">
        <f t="shared" si="0"/>
        <v>4.133931712929532E-8</v>
      </c>
      <c r="O64" s="6">
        <f t="shared" si="2"/>
        <v>4.989117129295317E-9</v>
      </c>
    </row>
    <row r="65" spans="1:15" x14ac:dyDescent="0.25">
      <c r="A65" s="9">
        <v>64</v>
      </c>
      <c r="B65" s="6">
        <f>Plan11!$G74</f>
        <v>4.8779999999999997E-8</v>
      </c>
      <c r="C65" s="6">
        <f>Plan12!$G74</f>
        <v>4.2789E-8</v>
      </c>
      <c r="D65" s="6">
        <f>Plan13!$G74</f>
        <v>2.5717000000000001E-8</v>
      </c>
      <c r="E65" s="6">
        <f>Plan14!$G74</f>
        <v>2.8911E-8</v>
      </c>
      <c r="F65" s="6">
        <f>Plan15!$G74</f>
        <v>3.0738E-8</v>
      </c>
      <c r="G65" s="6">
        <f>Plan16!$G74</f>
        <v>3.9737E-8</v>
      </c>
      <c r="H65" s="6">
        <f>Plan17!$G74</f>
        <v>3.9328E-8</v>
      </c>
      <c r="I65" s="6">
        <f>Plan18!$G74</f>
        <v>4.0887000000000001E-8</v>
      </c>
      <c r="J65" s="6">
        <f>Plan19!$G74</f>
        <v>3.5227000000000002E-8</v>
      </c>
      <c r="K65" s="6">
        <f>Plan20!$G74</f>
        <v>3.0839999999999997E-8</v>
      </c>
      <c r="L65" s="7">
        <f t="shared" si="3"/>
        <v>3.6295400000000004E-8</v>
      </c>
      <c r="M65" s="6">
        <f t="shared" si="1"/>
        <v>3.1134818308084387E-8</v>
      </c>
      <c r="N65" s="6">
        <f t="shared" si="0"/>
        <v>4.145598169191562E-8</v>
      </c>
      <c r="O65" s="6">
        <f t="shared" si="2"/>
        <v>5.1605816919156153E-9</v>
      </c>
    </row>
    <row r="66" spans="1:15" x14ac:dyDescent="0.25">
      <c r="A66" s="9">
        <v>65</v>
      </c>
      <c r="B66" s="6">
        <f>Plan11!$G75</f>
        <v>4.8750999999999998E-8</v>
      </c>
      <c r="C66" s="6">
        <f>Plan12!$G75</f>
        <v>4.2750000000000002E-8</v>
      </c>
      <c r="D66" s="6">
        <f>Plan13!$G75</f>
        <v>2.6432000000000001E-8</v>
      </c>
      <c r="E66" s="6">
        <f>Plan14!$G75</f>
        <v>2.9072999999999998E-8</v>
      </c>
      <c r="F66" s="6">
        <f>Plan15!$G75</f>
        <v>3.0984000000000001E-8</v>
      </c>
      <c r="G66" s="6">
        <f>Plan16!$G75</f>
        <v>3.9142000000000001E-8</v>
      </c>
      <c r="H66" s="6">
        <f>Plan17!$G75</f>
        <v>3.9605999999999997E-8</v>
      </c>
      <c r="I66" s="6">
        <f>Plan18!$G75</f>
        <v>4.0577E-8</v>
      </c>
      <c r="J66" s="6">
        <f>Plan19!$G75</f>
        <v>3.5081000000000002E-8</v>
      </c>
      <c r="K66" s="6">
        <f>Plan20!$G75</f>
        <v>3.0939000000000003E-8</v>
      </c>
      <c r="L66" s="7">
        <f t="shared" si="3"/>
        <v>3.6333499999999999E-8</v>
      </c>
      <c r="M66" s="6">
        <f t="shared" si="1"/>
        <v>3.1320264497994833E-8</v>
      </c>
      <c r="N66" s="6">
        <f t="shared" ref="N66:N88" si="4">L66+O66</f>
        <v>4.1346735502005165E-8</v>
      </c>
      <c r="O66" s="6">
        <f t="shared" si="2"/>
        <v>5.013235502005165E-9</v>
      </c>
    </row>
    <row r="67" spans="1:15" x14ac:dyDescent="0.25">
      <c r="A67" s="9">
        <v>66</v>
      </c>
      <c r="B67" s="6">
        <f>Plan11!$G76</f>
        <v>4.8908999999999998E-8</v>
      </c>
      <c r="C67" s="6">
        <f>Plan12!$G76</f>
        <v>4.2515000000000001E-8</v>
      </c>
      <c r="D67" s="6">
        <f>Plan13!$G76</f>
        <v>2.5804000000000001E-8</v>
      </c>
      <c r="E67" s="6">
        <f>Plan14!$G76</f>
        <v>2.9083E-8</v>
      </c>
      <c r="F67" s="6">
        <f>Plan15!$G76</f>
        <v>3.0901E-8</v>
      </c>
      <c r="G67" s="6">
        <f>Plan16!$G76</f>
        <v>3.8716000000000001E-8</v>
      </c>
      <c r="H67" s="6">
        <f>Plan17!$G76</f>
        <v>3.9383999999999997E-8</v>
      </c>
      <c r="I67" s="6">
        <f>Plan18!$G76</f>
        <v>4.0075E-8</v>
      </c>
      <c r="J67" s="6">
        <f>Plan19!$G76</f>
        <v>3.5412E-8</v>
      </c>
      <c r="K67" s="6">
        <f>Plan20!$G76</f>
        <v>3.0880999999999997E-8</v>
      </c>
      <c r="L67" s="7">
        <f t="shared" ref="L67:L88" si="5">AVERAGE(B67:K67)</f>
        <v>3.6167999999999997E-8</v>
      </c>
      <c r="M67" s="6">
        <f t="shared" ref="M67:M88" si="6">L67-O67</f>
        <v>3.1117582416713211E-8</v>
      </c>
      <c r="N67" s="6">
        <f t="shared" si="4"/>
        <v>4.1218417583286782E-8</v>
      </c>
      <c r="O67" s="6">
        <f t="shared" ref="O67:O88" si="7">_xlfn.CONFIDENCE.T(0.05,_xlfn.STDEV.S(B67:K67),COUNTA(B67:K67))</f>
        <v>5.0504175832867848E-9</v>
      </c>
    </row>
    <row r="68" spans="1:15" x14ac:dyDescent="0.25">
      <c r="A68" s="9">
        <v>67</v>
      </c>
      <c r="B68" s="6">
        <f>Plan11!$G77</f>
        <v>4.9251000000000002E-8</v>
      </c>
      <c r="C68" s="6">
        <f>Plan12!$G77</f>
        <v>4.2470000000000002E-8</v>
      </c>
      <c r="D68" s="6">
        <f>Plan13!$G77</f>
        <v>2.5273999999999999E-8</v>
      </c>
      <c r="E68" s="6">
        <f>Plan14!$G77</f>
        <v>2.8658999999999999E-8</v>
      </c>
      <c r="F68" s="6">
        <f>Plan15!$G77</f>
        <v>3.0278000000000002E-8</v>
      </c>
      <c r="G68" s="6">
        <f>Plan16!$G77</f>
        <v>3.8282999999999999E-8</v>
      </c>
      <c r="H68" s="6">
        <f>Plan17!$G77</f>
        <v>3.9786999999999998E-8</v>
      </c>
      <c r="I68" s="6">
        <f>Plan18!$G77</f>
        <v>3.9825000000000001E-8</v>
      </c>
      <c r="J68" s="6">
        <f>Plan19!$G77</f>
        <v>3.5526000000000003E-8</v>
      </c>
      <c r="K68" s="6">
        <f>Plan20!$G77</f>
        <v>3.0315999999999998E-8</v>
      </c>
      <c r="L68" s="7">
        <f t="shared" si="5"/>
        <v>3.5966899999999995E-8</v>
      </c>
      <c r="M68" s="6">
        <f t="shared" si="6"/>
        <v>3.0711018541700581E-8</v>
      </c>
      <c r="N68" s="6">
        <f t="shared" si="4"/>
        <v>4.1222781458299409E-8</v>
      </c>
      <c r="O68" s="6">
        <f t="shared" si="7"/>
        <v>5.2558814582994152E-9</v>
      </c>
    </row>
    <row r="69" spans="1:15" x14ac:dyDescent="0.25">
      <c r="A69" s="9">
        <v>68</v>
      </c>
      <c r="B69" s="6">
        <f>Plan11!$G78</f>
        <v>4.9276999999999998E-8</v>
      </c>
      <c r="C69" s="6">
        <f>Plan12!$G78</f>
        <v>4.2604000000000002E-8</v>
      </c>
      <c r="D69" s="6">
        <f>Plan13!$G78</f>
        <v>2.5822000000000001E-8</v>
      </c>
      <c r="E69" s="6">
        <f>Plan14!$G78</f>
        <v>2.8746999999999999E-8</v>
      </c>
      <c r="F69" s="6">
        <f>Plan15!$G78</f>
        <v>3.0423000000000001E-8</v>
      </c>
      <c r="G69" s="6">
        <f>Plan16!$G78</f>
        <v>3.7725000000000002E-8</v>
      </c>
      <c r="H69" s="6">
        <f>Plan17!$G78</f>
        <v>4.0125999999999998E-8</v>
      </c>
      <c r="I69" s="6">
        <f>Plan18!$G78</f>
        <v>3.9680000000000002E-8</v>
      </c>
      <c r="J69" s="6">
        <f>Plan19!$G78</f>
        <v>3.5444999999999997E-8</v>
      </c>
      <c r="K69" s="6">
        <f>Plan20!$G78</f>
        <v>3.0721000000000001E-8</v>
      </c>
      <c r="L69" s="7">
        <f t="shared" si="5"/>
        <v>3.6057000000000003E-8</v>
      </c>
      <c r="M69" s="6">
        <f t="shared" si="6"/>
        <v>3.089365445866359E-8</v>
      </c>
      <c r="N69" s="6">
        <f t="shared" si="4"/>
        <v>4.1220345541336416E-8</v>
      </c>
      <c r="O69" s="6">
        <f t="shared" si="7"/>
        <v>5.1633455413364161E-9</v>
      </c>
    </row>
    <row r="70" spans="1:15" x14ac:dyDescent="0.25">
      <c r="A70" s="9">
        <v>69</v>
      </c>
      <c r="B70" s="6">
        <f>Plan11!$G79</f>
        <v>4.9107999999999999E-8</v>
      </c>
      <c r="C70" s="6">
        <f>Plan12!$G79</f>
        <v>4.2494000000000003E-8</v>
      </c>
      <c r="D70" s="6">
        <f>Plan13!$G79</f>
        <v>2.6151E-8</v>
      </c>
      <c r="E70" s="6">
        <f>Plan14!$G79</f>
        <v>2.8762E-8</v>
      </c>
      <c r="F70" s="6">
        <f>Plan15!$G79</f>
        <v>3.0640000000000002E-8</v>
      </c>
      <c r="G70" s="6">
        <f>Plan16!$G79</f>
        <v>3.7342999999999999E-8</v>
      </c>
      <c r="H70" s="6">
        <f>Plan17!$G79</f>
        <v>4.0193000000000001E-8</v>
      </c>
      <c r="I70" s="6">
        <f>Plan18!$G79</f>
        <v>3.9184000000000002E-8</v>
      </c>
      <c r="J70" s="6">
        <f>Plan19!$G79</f>
        <v>3.6174999999999998E-8</v>
      </c>
      <c r="K70" s="6">
        <f>Plan20!$G79</f>
        <v>3.0609E-8</v>
      </c>
      <c r="L70" s="7">
        <f t="shared" si="5"/>
        <v>3.6065900000000001E-8</v>
      </c>
      <c r="M70" s="6">
        <f t="shared" si="6"/>
        <v>3.1003711075634961E-8</v>
      </c>
      <c r="N70" s="6">
        <f t="shared" si="4"/>
        <v>4.1128088924365041E-8</v>
      </c>
      <c r="O70" s="6">
        <f t="shared" si="7"/>
        <v>5.0621889243650416E-9</v>
      </c>
    </row>
    <row r="71" spans="1:15" x14ac:dyDescent="0.25">
      <c r="A71" s="10">
        <v>70</v>
      </c>
      <c r="B71" s="6">
        <f>Plan11!$G80</f>
        <v>4.9366E-8</v>
      </c>
      <c r="C71" s="6">
        <f>Plan12!$G80</f>
        <v>4.2234E-8</v>
      </c>
      <c r="D71" s="6">
        <f>Plan13!$G80</f>
        <v>2.5548000000000002E-8</v>
      </c>
      <c r="E71" s="6">
        <f>Plan14!$G80</f>
        <v>2.8512000000000001E-8</v>
      </c>
      <c r="F71" s="6">
        <f>Plan15!$G80</f>
        <v>3.0032000000000001E-8</v>
      </c>
      <c r="G71" s="6">
        <f>Plan16!$G80</f>
        <v>3.6657000000000002E-8</v>
      </c>
      <c r="H71" s="6">
        <f>Plan17!$G80</f>
        <v>4.0409000000000001E-8</v>
      </c>
      <c r="I71" s="6">
        <f>Plan18!$G80</f>
        <v>3.8922000000000003E-8</v>
      </c>
      <c r="J71" s="6">
        <f>Plan19!$G80</f>
        <v>3.6691000000000001E-8</v>
      </c>
      <c r="K71" s="6">
        <f>Plan20!$G80</f>
        <v>3.0617000000000002E-8</v>
      </c>
      <c r="L71" s="7">
        <f t="shared" si="5"/>
        <v>3.5898800000000005E-8</v>
      </c>
      <c r="M71" s="6">
        <f t="shared" si="6"/>
        <v>3.0695265075190029E-8</v>
      </c>
      <c r="N71" s="6">
        <f t="shared" si="4"/>
        <v>4.1102334924809981E-8</v>
      </c>
      <c r="O71" s="6">
        <f t="shared" si="7"/>
        <v>5.2035349248099751E-9</v>
      </c>
    </row>
    <row r="72" spans="1:15" x14ac:dyDescent="0.25">
      <c r="A72" s="9">
        <v>71</v>
      </c>
      <c r="B72" s="6">
        <f>Plan11!$G81</f>
        <v>4.9444999999999997E-8</v>
      </c>
      <c r="C72" s="6">
        <f>Plan12!$G81</f>
        <v>4.2505999999999997E-8</v>
      </c>
      <c r="D72" s="6">
        <f>Plan13!$G81</f>
        <v>2.5704E-8</v>
      </c>
      <c r="E72" s="6">
        <f>Plan14!$G81</f>
        <v>2.8632999999999999E-8</v>
      </c>
      <c r="F72" s="6">
        <f>Plan15!$G81</f>
        <v>2.9916000000000001E-8</v>
      </c>
      <c r="G72" s="6">
        <f>Plan16!$G81</f>
        <v>3.6185999999999997E-8</v>
      </c>
      <c r="H72" s="6">
        <f>Plan17!$G81</f>
        <v>4.0760999999999997E-8</v>
      </c>
      <c r="I72" s="6">
        <f>Plan18!$G81</f>
        <v>3.8805000000000002E-8</v>
      </c>
      <c r="J72" s="6">
        <f>Plan19!$G81</f>
        <v>3.7019000000000002E-8</v>
      </c>
      <c r="K72" s="6">
        <f>Plan20!$G81</f>
        <v>3.0961000000000002E-8</v>
      </c>
      <c r="L72" s="7">
        <f t="shared" si="5"/>
        <v>3.5993599999999996E-8</v>
      </c>
      <c r="M72" s="6">
        <f t="shared" si="6"/>
        <v>3.0783591070519316E-8</v>
      </c>
      <c r="N72" s="6">
        <f t="shared" si="4"/>
        <v>4.1203608929480676E-8</v>
      </c>
      <c r="O72" s="6">
        <f t="shared" si="7"/>
        <v>5.2100089294806802E-9</v>
      </c>
    </row>
    <row r="73" spans="1:15" x14ac:dyDescent="0.25">
      <c r="A73" s="9">
        <v>73</v>
      </c>
      <c r="B73" s="6">
        <f>Plan11!$G82</f>
        <v>4.9187000000000002E-8</v>
      </c>
      <c r="C73" s="6">
        <f>Plan12!$G82</f>
        <v>4.2178000000000002E-8</v>
      </c>
      <c r="D73" s="6">
        <f>Plan13!$G82</f>
        <v>2.5667000000000001E-8</v>
      </c>
      <c r="E73" s="6">
        <f>Plan14!$G82</f>
        <v>2.8731000000000001E-8</v>
      </c>
      <c r="F73" s="6">
        <f>Plan15!$G82</f>
        <v>2.9853999999999997E-8</v>
      </c>
      <c r="G73" s="6">
        <f>Plan16!$G82</f>
        <v>3.5034000000000001E-8</v>
      </c>
      <c r="H73" s="6">
        <f>Plan17!$G82</f>
        <v>4.1064999999999997E-8</v>
      </c>
      <c r="I73" s="6">
        <f>Plan18!$G82</f>
        <v>3.7795000000000002E-8</v>
      </c>
      <c r="J73" s="6">
        <f>Plan19!$G82</f>
        <v>3.8074000000000001E-8</v>
      </c>
      <c r="K73" s="6">
        <f>Plan20!$G82</f>
        <v>3.1289000000000003E-8</v>
      </c>
      <c r="L73" s="7">
        <f t="shared" si="5"/>
        <v>3.5887399999999991E-8</v>
      </c>
      <c r="M73" s="6">
        <f t="shared" si="6"/>
        <v>3.0741994727076177E-8</v>
      </c>
      <c r="N73" s="6">
        <f t="shared" si="4"/>
        <v>4.1032805272923804E-8</v>
      </c>
      <c r="O73" s="6">
        <f t="shared" si="7"/>
        <v>5.1454052729238144E-9</v>
      </c>
    </row>
    <row r="74" spans="1:15" x14ac:dyDescent="0.25">
      <c r="A74" s="9">
        <v>75</v>
      </c>
      <c r="B74" s="6">
        <f>Plan11!$G83</f>
        <v>4.8894000000000001E-8</v>
      </c>
      <c r="C74" s="6">
        <f>Plan12!$G83</f>
        <v>4.2530999999999999E-8</v>
      </c>
      <c r="D74" s="6">
        <f>Plan13!$G83</f>
        <v>2.6031E-8</v>
      </c>
      <c r="E74" s="6">
        <f>Plan14!$G83</f>
        <v>2.8967000000000001E-8</v>
      </c>
      <c r="F74" s="6">
        <f>Plan15!$G83</f>
        <v>2.9932E-8</v>
      </c>
      <c r="G74" s="6">
        <f>Plan16!$G83</f>
        <v>3.4061000000000003E-8</v>
      </c>
      <c r="H74" s="6">
        <f>Plan17!$G83</f>
        <v>4.1840999999999997E-8</v>
      </c>
      <c r="I74" s="6">
        <f>Plan18!$G83</f>
        <v>3.7135000000000001E-8</v>
      </c>
      <c r="J74" s="6">
        <f>Plan19!$G83</f>
        <v>3.8681000000000001E-8</v>
      </c>
      <c r="K74" s="6">
        <f>Plan20!$G83</f>
        <v>3.1404000000000001E-8</v>
      </c>
      <c r="L74" s="7">
        <f t="shared" si="5"/>
        <v>3.5947700000000002E-8</v>
      </c>
      <c r="M74" s="6">
        <f t="shared" si="6"/>
        <v>3.082223600957517E-8</v>
      </c>
      <c r="N74" s="6">
        <f t="shared" si="4"/>
        <v>4.1073163990424834E-8</v>
      </c>
      <c r="O74" s="6">
        <f t="shared" si="7"/>
        <v>5.1254639904248354E-9</v>
      </c>
    </row>
    <row r="75" spans="1:15" x14ac:dyDescent="0.25">
      <c r="A75" s="9">
        <v>77</v>
      </c>
      <c r="B75" s="6">
        <f>Plan11!$G84</f>
        <v>4.8563999999999997E-8</v>
      </c>
      <c r="C75" s="6">
        <f>Plan12!$G84</f>
        <v>4.245E-8</v>
      </c>
      <c r="D75" s="6">
        <f>Plan13!$G84</f>
        <v>2.5270000000000001E-8</v>
      </c>
      <c r="E75" s="6">
        <f>Plan14!$G84</f>
        <v>2.8903000000000001E-8</v>
      </c>
      <c r="F75" s="6">
        <f>Plan15!$G84</f>
        <v>2.9580999999999999E-8</v>
      </c>
      <c r="G75" s="6">
        <f>Plan16!$G84</f>
        <v>3.3171E-8</v>
      </c>
      <c r="H75" s="6">
        <f>Plan17!$G84</f>
        <v>4.2086999999999998E-8</v>
      </c>
      <c r="I75" s="6">
        <f>Plan18!$G84</f>
        <v>3.6220999999999997E-8</v>
      </c>
      <c r="J75" s="6">
        <f>Plan19!$G84</f>
        <v>3.9098999999999998E-8</v>
      </c>
      <c r="K75" s="6">
        <f>Plan20!$G84</f>
        <v>3.1219000000000003E-8</v>
      </c>
      <c r="L75" s="7">
        <f t="shared" si="5"/>
        <v>3.5656500000000006E-8</v>
      </c>
      <c r="M75" s="6">
        <f t="shared" si="6"/>
        <v>3.0418435283889013E-8</v>
      </c>
      <c r="N75" s="6">
        <f t="shared" si="4"/>
        <v>4.0894564716110999E-8</v>
      </c>
      <c r="O75" s="6">
        <f t="shared" si="7"/>
        <v>5.2380647161109937E-9</v>
      </c>
    </row>
    <row r="76" spans="1:15" x14ac:dyDescent="0.25">
      <c r="A76" s="10">
        <v>79</v>
      </c>
      <c r="B76" s="6">
        <f>Plan11!$G85</f>
        <v>4.8154000000000002E-8</v>
      </c>
      <c r="C76" s="6">
        <f>Plan12!$G85</f>
        <v>4.2692000000000003E-8</v>
      </c>
      <c r="D76" s="6">
        <f>Plan13!$G85</f>
        <v>2.6248999999999999E-8</v>
      </c>
      <c r="E76" s="6">
        <f>Plan14!$G85</f>
        <v>2.9014999999999999E-8</v>
      </c>
      <c r="F76" s="6">
        <f>Plan15!$G85</f>
        <v>2.9947999999999998E-8</v>
      </c>
      <c r="G76" s="6">
        <f>Plan16!$G85</f>
        <v>3.1772000000000002E-8</v>
      </c>
      <c r="H76" s="6">
        <f>Plan17!$G85</f>
        <v>4.2463000000000001E-8</v>
      </c>
      <c r="I76" s="6">
        <f>Plan18!$G85</f>
        <v>3.5196E-8</v>
      </c>
      <c r="J76" s="6">
        <f>Plan19!$G85</f>
        <v>3.9211E-8</v>
      </c>
      <c r="K76" s="6">
        <f>Plan20!$G85</f>
        <v>3.1619E-8</v>
      </c>
      <c r="L76" s="7">
        <f t="shared" si="5"/>
        <v>3.5631899999999999E-8</v>
      </c>
      <c r="M76" s="6">
        <f t="shared" si="6"/>
        <v>3.050965268562419E-8</v>
      </c>
      <c r="N76" s="6">
        <f t="shared" si="4"/>
        <v>4.0754147314375808E-8</v>
      </c>
      <c r="O76" s="6">
        <f t="shared" si="7"/>
        <v>5.1222473143758098E-9</v>
      </c>
    </row>
    <row r="77" spans="1:15" x14ac:dyDescent="0.25">
      <c r="A77" s="9">
        <v>81</v>
      </c>
      <c r="B77" s="6">
        <f>Plan11!$G86</f>
        <v>4.8120999999999998E-8</v>
      </c>
      <c r="C77" s="6">
        <f>Plan12!$G86</f>
        <v>4.2834999999999999E-8</v>
      </c>
      <c r="D77" s="6">
        <f>Plan13!$G86</f>
        <v>2.606E-8</v>
      </c>
      <c r="E77" s="6">
        <f>Plan14!$G86</f>
        <v>2.9189999999999999E-8</v>
      </c>
      <c r="F77" s="6">
        <f>Plan15!$G86</f>
        <v>2.8994999999999999E-8</v>
      </c>
      <c r="G77" s="6">
        <f>Plan16!$G86</f>
        <v>3.0601999999999998E-8</v>
      </c>
      <c r="H77" s="6">
        <f>Plan17!$G86</f>
        <v>4.2889000000000001E-8</v>
      </c>
      <c r="I77" s="6">
        <f>Plan18!$G86</f>
        <v>3.4434000000000002E-8</v>
      </c>
      <c r="J77" s="6">
        <f>Plan19!$G86</f>
        <v>3.9722000000000003E-8</v>
      </c>
      <c r="K77" s="6">
        <f>Plan20!$G86</f>
        <v>3.1296999999999999E-8</v>
      </c>
      <c r="L77" s="7">
        <f t="shared" si="5"/>
        <v>3.5414499999999996E-8</v>
      </c>
      <c r="M77" s="6">
        <f t="shared" si="6"/>
        <v>3.0085328107785657E-8</v>
      </c>
      <c r="N77" s="6">
        <f t="shared" si="4"/>
        <v>4.0743671892214335E-8</v>
      </c>
      <c r="O77" s="6">
        <f t="shared" si="7"/>
        <v>5.3291718922143373E-9</v>
      </c>
    </row>
    <row r="78" spans="1:15" x14ac:dyDescent="0.25">
      <c r="A78" s="9">
        <v>83</v>
      </c>
      <c r="B78" s="6">
        <f>Plan11!$G87</f>
        <v>4.7666999999999999E-8</v>
      </c>
      <c r="C78" s="6">
        <f>Plan12!$G87</f>
        <v>4.2821999999999998E-8</v>
      </c>
      <c r="D78" s="6">
        <f>Plan13!$G87</f>
        <v>2.6370000000000001E-8</v>
      </c>
      <c r="E78" s="6">
        <f>Plan14!$G87</f>
        <v>2.9346E-8</v>
      </c>
      <c r="F78" s="6">
        <f>Plan15!$G87</f>
        <v>2.8535E-8</v>
      </c>
      <c r="G78" s="6">
        <f>Plan16!$G87</f>
        <v>3.0030999999999999E-8</v>
      </c>
      <c r="H78" s="6">
        <f>Plan17!$G87</f>
        <v>4.3229000000000003E-8</v>
      </c>
      <c r="I78" s="6">
        <f>Plan18!$G87</f>
        <v>3.3396999999999998E-8</v>
      </c>
      <c r="J78" s="6">
        <f>Plan19!$G87</f>
        <v>4.0206000000000003E-8</v>
      </c>
      <c r="K78" s="6">
        <f>Plan20!$G87</f>
        <v>3.1613E-8</v>
      </c>
      <c r="L78" s="7">
        <f t="shared" si="5"/>
        <v>3.5321600000000002E-8</v>
      </c>
      <c r="M78" s="6">
        <f t="shared" si="6"/>
        <v>2.9976893036508311E-8</v>
      </c>
      <c r="N78" s="6">
        <f t="shared" si="4"/>
        <v>4.0666306963491692E-8</v>
      </c>
      <c r="O78" s="6">
        <f t="shared" si="7"/>
        <v>5.3447069634916881E-9</v>
      </c>
    </row>
    <row r="79" spans="1:15" x14ac:dyDescent="0.25">
      <c r="A79" s="9">
        <v>85</v>
      </c>
      <c r="B79" s="6">
        <f>Plan11!$G88</f>
        <v>4.7478999999999998E-8</v>
      </c>
      <c r="C79" s="6">
        <f>Plan12!$G88</f>
        <v>4.3219999999999999E-8</v>
      </c>
      <c r="D79" s="6">
        <f>Plan13!$G88</f>
        <v>2.6969999999999999E-8</v>
      </c>
      <c r="E79" s="6">
        <f>Plan14!$G88</f>
        <v>2.9882000000000002E-8</v>
      </c>
      <c r="F79" s="6">
        <f>Plan15!$G88</f>
        <v>2.8368E-8</v>
      </c>
      <c r="G79" s="6">
        <f>Plan16!$G88</f>
        <v>2.9507999999999999E-8</v>
      </c>
      <c r="H79" s="6">
        <f>Plan17!$G88</f>
        <v>4.3492000000000003E-8</v>
      </c>
      <c r="I79" s="6">
        <f>Plan18!$G88</f>
        <v>3.2882000000000003E-8</v>
      </c>
      <c r="J79" s="6">
        <f>Plan19!$G88</f>
        <v>4.1188999999999999E-8</v>
      </c>
      <c r="K79" s="6">
        <f>Plan20!$G88</f>
        <v>3.1820000000000003E-8</v>
      </c>
      <c r="L79" s="7">
        <f t="shared" si="5"/>
        <v>3.5481000000000005E-8</v>
      </c>
      <c r="M79" s="6">
        <f t="shared" si="6"/>
        <v>3.0091679116055421E-8</v>
      </c>
      <c r="N79" s="6">
        <f t="shared" si="4"/>
        <v>4.0870320883944589E-8</v>
      </c>
      <c r="O79" s="6">
        <f t="shared" si="7"/>
        <v>5.3893208839445832E-9</v>
      </c>
    </row>
    <row r="80" spans="1:15" x14ac:dyDescent="0.25">
      <c r="A80" s="9">
        <v>87</v>
      </c>
      <c r="B80" s="6">
        <f>Plan11!$G89</f>
        <v>4.7337000000000002E-8</v>
      </c>
      <c r="C80" s="6">
        <f>Plan12!$G89</f>
        <v>4.3219999999999999E-8</v>
      </c>
      <c r="D80" s="6">
        <f>Plan13!$G89</f>
        <v>2.6871E-8</v>
      </c>
      <c r="E80" s="6">
        <f>Plan14!$G89</f>
        <v>3.0221999999999998E-8</v>
      </c>
      <c r="F80" s="6">
        <f>Plan15!$G89</f>
        <v>2.8031999999999999E-8</v>
      </c>
      <c r="G80" s="6">
        <f>Plan16!$G89</f>
        <v>2.9175999999999999E-8</v>
      </c>
      <c r="H80" s="6">
        <f>Plan17!$G89</f>
        <v>4.3811000000000001E-8</v>
      </c>
      <c r="I80" s="6">
        <f>Plan18!$G89</f>
        <v>3.2127E-8</v>
      </c>
      <c r="J80" s="6">
        <f>Plan19!$G89</f>
        <v>4.1733000000000001E-8</v>
      </c>
      <c r="K80" s="6">
        <f>Plan20!$G89</f>
        <v>3.2281999999999998E-8</v>
      </c>
      <c r="L80" s="7">
        <f t="shared" si="5"/>
        <v>3.5481099999999997E-8</v>
      </c>
      <c r="M80" s="6">
        <f t="shared" si="6"/>
        <v>3.0004758598156614E-8</v>
      </c>
      <c r="N80" s="6">
        <f t="shared" si="4"/>
        <v>4.0957441401843381E-8</v>
      </c>
      <c r="O80" s="6">
        <f t="shared" si="7"/>
        <v>5.4763414018433821E-9</v>
      </c>
    </row>
    <row r="81" spans="1:15" x14ac:dyDescent="0.25">
      <c r="A81" s="10">
        <v>89</v>
      </c>
      <c r="B81" s="6">
        <f>Plan11!$G90</f>
        <v>4.6859999999999997E-8</v>
      </c>
      <c r="C81" s="6">
        <f>Plan12!$G90</f>
        <v>4.3345000000000002E-8</v>
      </c>
      <c r="D81" s="6">
        <f>Plan13!$G90</f>
        <v>2.7797000000000001E-8</v>
      </c>
      <c r="E81" s="6">
        <f>Plan14!$G90</f>
        <v>3.0476000000000001E-8</v>
      </c>
      <c r="F81" s="6">
        <f>Plan15!$G90</f>
        <v>2.8457999999999999E-8</v>
      </c>
      <c r="G81" s="6">
        <f>Plan16!$G90</f>
        <v>2.8597000000000001E-8</v>
      </c>
      <c r="H81" s="6">
        <f>Plan17!$G90</f>
        <v>4.4133999999999997E-8</v>
      </c>
      <c r="I81" s="6">
        <f>Plan18!$G90</f>
        <v>3.1674000000000003E-8</v>
      </c>
      <c r="J81" s="6">
        <f>Plan19!$G90</f>
        <v>4.2126999999999997E-8</v>
      </c>
      <c r="K81" s="6">
        <f>Plan20!$G90</f>
        <v>3.292E-8</v>
      </c>
      <c r="L81" s="7">
        <f t="shared" si="5"/>
        <v>3.5638800000000001E-8</v>
      </c>
      <c r="M81" s="6">
        <f t="shared" si="6"/>
        <v>3.0243363154997111E-8</v>
      </c>
      <c r="N81" s="6">
        <f t="shared" si="4"/>
        <v>4.1034236845002892E-8</v>
      </c>
      <c r="O81" s="6">
        <f t="shared" si="7"/>
        <v>5.3954368450028927E-9</v>
      </c>
    </row>
    <row r="82" spans="1:15" x14ac:dyDescent="0.25">
      <c r="A82" s="9">
        <v>91</v>
      </c>
      <c r="B82" s="6">
        <f>Plan11!$G91</f>
        <v>4.6364999999999999E-8</v>
      </c>
      <c r="C82" s="6">
        <f>Plan12!$G91</f>
        <v>4.3713999999999997E-8</v>
      </c>
      <c r="D82" s="6">
        <f>Plan13!$G91</f>
        <v>2.7867999999999998E-8</v>
      </c>
      <c r="E82" s="6">
        <f>Plan14!$G91</f>
        <v>3.0769999999999997E-8</v>
      </c>
      <c r="F82" s="6">
        <f>Plan15!$G91</f>
        <v>2.8343999999999999E-8</v>
      </c>
      <c r="G82" s="6">
        <f>Plan16!$G91</f>
        <v>2.8139999999999999E-8</v>
      </c>
      <c r="H82" s="6">
        <f>Plan17!$G91</f>
        <v>4.4195E-8</v>
      </c>
      <c r="I82" s="6">
        <f>Plan18!$G91</f>
        <v>3.1668999999999997E-8</v>
      </c>
      <c r="J82" s="6">
        <f>Plan19!$G91</f>
        <v>4.2307000000000003E-8</v>
      </c>
      <c r="K82" s="6">
        <f>Plan20!$G91</f>
        <v>3.2952000000000003E-8</v>
      </c>
      <c r="L82" s="7">
        <f t="shared" si="5"/>
        <v>3.5632399999999993E-8</v>
      </c>
      <c r="M82" s="6">
        <f t="shared" si="6"/>
        <v>3.0223956306800607E-8</v>
      </c>
      <c r="N82" s="6">
        <f t="shared" si="4"/>
        <v>4.1040843693199379E-8</v>
      </c>
      <c r="O82" s="6">
        <f t="shared" si="7"/>
        <v>5.4084436931993854E-9</v>
      </c>
    </row>
    <row r="83" spans="1:15" x14ac:dyDescent="0.25">
      <c r="A83" s="9">
        <v>93</v>
      </c>
      <c r="B83" s="6">
        <f>Plan11!$G92</f>
        <v>4.5260999999999997E-8</v>
      </c>
      <c r="C83" s="6">
        <f>Plan12!$G92</f>
        <v>4.4009000000000001E-8</v>
      </c>
      <c r="D83" s="6">
        <f>Plan13!$G92</f>
        <v>2.8361999999999999E-8</v>
      </c>
      <c r="E83" s="6">
        <f>Plan14!$G92</f>
        <v>3.1015999999999998E-8</v>
      </c>
      <c r="F83" s="6">
        <f>Plan15!$G92</f>
        <v>2.8349000000000001E-8</v>
      </c>
      <c r="G83" s="6">
        <f>Plan16!$G92</f>
        <v>2.7695000000000001E-8</v>
      </c>
      <c r="H83" s="6">
        <f>Plan17!$G92</f>
        <v>4.4482000000000001E-8</v>
      </c>
      <c r="I83" s="6">
        <f>Plan18!$G92</f>
        <v>3.1296999999999999E-8</v>
      </c>
      <c r="J83" s="6">
        <f>Plan19!$G92</f>
        <v>4.2340000000000001E-8</v>
      </c>
      <c r="K83" s="6">
        <f>Plan20!$G92</f>
        <v>3.3040999999999998E-8</v>
      </c>
      <c r="L83" s="7">
        <f t="shared" si="5"/>
        <v>3.5585200000000002E-8</v>
      </c>
      <c r="M83" s="6">
        <f t="shared" si="6"/>
        <v>3.0243157641497738E-8</v>
      </c>
      <c r="N83" s="6">
        <f t="shared" si="4"/>
        <v>4.0927242358502265E-8</v>
      </c>
      <c r="O83" s="6">
        <f t="shared" si="7"/>
        <v>5.3420423585022655E-9</v>
      </c>
    </row>
    <row r="84" spans="1:15" x14ac:dyDescent="0.25">
      <c r="A84" s="9">
        <v>95</v>
      </c>
      <c r="B84" s="6">
        <f>Plan11!$G93</f>
        <v>4.4379000000000003E-8</v>
      </c>
      <c r="C84" s="6">
        <f>Plan12!$G93</f>
        <v>4.4535000000000001E-8</v>
      </c>
      <c r="D84" s="6">
        <f>Plan13!$G93</f>
        <v>2.9136E-8</v>
      </c>
      <c r="E84" s="6">
        <f>Plan14!$G93</f>
        <v>3.1483999999999999E-8</v>
      </c>
      <c r="F84" s="6">
        <f>Plan15!$G93</f>
        <v>2.8626999999999999E-8</v>
      </c>
      <c r="G84" s="6">
        <f>Plan16!$G93</f>
        <v>2.6941E-8</v>
      </c>
      <c r="H84" s="6">
        <f>Plan17!$G93</f>
        <v>4.4489000000000002E-8</v>
      </c>
      <c r="I84" s="6">
        <f>Plan18!$G93</f>
        <v>3.1407999999999999E-8</v>
      </c>
      <c r="J84" s="6">
        <f>Plan19!$G93</f>
        <v>4.2644000000000001E-8</v>
      </c>
      <c r="K84" s="6">
        <f>Plan20!$G93</f>
        <v>3.3062000000000002E-8</v>
      </c>
      <c r="L84" s="7">
        <f t="shared" si="5"/>
        <v>3.5670500000000002E-8</v>
      </c>
      <c r="M84" s="6">
        <f t="shared" si="6"/>
        <v>3.0382298346550007E-8</v>
      </c>
      <c r="N84" s="6">
        <f t="shared" si="4"/>
        <v>4.0958701653449996E-8</v>
      </c>
      <c r="O84" s="6">
        <f t="shared" si="7"/>
        <v>5.2882016534499972E-9</v>
      </c>
    </row>
    <row r="85" spans="1:15" x14ac:dyDescent="0.25">
      <c r="A85" s="9">
        <v>97</v>
      </c>
      <c r="B85" s="6">
        <f>Plan11!$G94</f>
        <v>4.3566000000000001E-8</v>
      </c>
      <c r="C85" s="6">
        <f>Plan12!$G94</f>
        <v>4.4691E-8</v>
      </c>
      <c r="D85" s="6">
        <f>Plan13!$G94</f>
        <v>2.9346E-8</v>
      </c>
      <c r="E85" s="6">
        <f>Plan14!$G94</f>
        <v>3.1734999999999999E-8</v>
      </c>
      <c r="F85" s="6">
        <f>Plan15!$G94</f>
        <v>2.8587E-8</v>
      </c>
      <c r="G85" s="6">
        <f>Plan16!$G94</f>
        <v>2.625E-8</v>
      </c>
      <c r="H85" s="6">
        <f>Plan17!$G94</f>
        <v>4.4355999999999997E-8</v>
      </c>
      <c r="I85" s="6">
        <f>Plan18!$G94</f>
        <v>3.1044000000000003E-8</v>
      </c>
      <c r="J85" s="6">
        <f>Plan19!$G94</f>
        <v>4.2736E-8</v>
      </c>
      <c r="K85" s="6">
        <f>Plan20!$G94</f>
        <v>3.3109000000000002E-8</v>
      </c>
      <c r="L85" s="7">
        <f t="shared" si="5"/>
        <v>3.5542000000000002E-8</v>
      </c>
      <c r="M85" s="6">
        <f t="shared" si="6"/>
        <v>3.0256757274370458E-8</v>
      </c>
      <c r="N85" s="6">
        <f t="shared" si="4"/>
        <v>4.0827242725629545E-8</v>
      </c>
      <c r="O85" s="6">
        <f t="shared" si="7"/>
        <v>5.2852427256295439E-9</v>
      </c>
    </row>
    <row r="86" spans="1:15" x14ac:dyDescent="0.25">
      <c r="A86" s="10">
        <v>99</v>
      </c>
      <c r="B86" s="6">
        <f>Plan11!$G95</f>
        <v>4.2663999999999997E-8</v>
      </c>
      <c r="C86" s="6">
        <f>Plan12!$G95</f>
        <v>4.5101000000000001E-8</v>
      </c>
      <c r="D86" s="6">
        <f>Plan13!$G95</f>
        <v>3.0463E-8</v>
      </c>
      <c r="E86" s="6">
        <f>Plan14!$G95</f>
        <v>3.2100000000000003E-8</v>
      </c>
      <c r="F86" s="6">
        <f>Plan15!$G95</f>
        <v>2.9023999999999999E-8</v>
      </c>
      <c r="G86" s="6">
        <f>Plan16!$G95</f>
        <v>2.5510999999999999E-8</v>
      </c>
      <c r="H86" s="6">
        <f>Plan17!$G95</f>
        <v>4.4335E-8</v>
      </c>
      <c r="I86" s="6">
        <f>Plan18!$G95</f>
        <v>3.0740999999999997E-8</v>
      </c>
      <c r="J86" s="6">
        <f>Plan19!$G95</f>
        <v>4.2698000000000003E-8</v>
      </c>
      <c r="K86" s="6">
        <f>Plan20!$G95</f>
        <v>3.3239999999999999E-8</v>
      </c>
      <c r="L86" s="7">
        <f t="shared" si="5"/>
        <v>3.5587699999999998E-8</v>
      </c>
      <c r="M86" s="6">
        <f t="shared" si="6"/>
        <v>3.0365108122278976E-8</v>
      </c>
      <c r="N86" s="6">
        <f t="shared" si="4"/>
        <v>4.081029187772102E-8</v>
      </c>
      <c r="O86" s="6">
        <f t="shared" si="7"/>
        <v>5.2225918777210239E-9</v>
      </c>
    </row>
    <row r="87" spans="1:15" x14ac:dyDescent="0.25">
      <c r="A87" s="9">
        <v>101</v>
      </c>
      <c r="B87" s="6">
        <f>Plan11!$G96</f>
        <v>4.1902E-8</v>
      </c>
      <c r="C87" s="6">
        <f>Plan12!$G96</f>
        <v>4.5552000000000003E-8</v>
      </c>
      <c r="D87" s="6">
        <f>Plan13!$G96</f>
        <v>3.0985999999999997E-8</v>
      </c>
      <c r="E87" s="6">
        <f>Plan14!$G96</f>
        <v>3.25E-8</v>
      </c>
      <c r="F87" s="6">
        <f>Plan15!$G96</f>
        <v>2.9055000000000001E-8</v>
      </c>
      <c r="G87" s="6">
        <f>Plan16!$G96</f>
        <v>2.4739999999999999E-8</v>
      </c>
      <c r="H87" s="6">
        <f>Plan17!$G96</f>
        <v>4.3918000000000003E-8</v>
      </c>
      <c r="I87" s="6">
        <f>Plan18!$G96</f>
        <v>3.0600999999999997E-8</v>
      </c>
      <c r="J87" s="6">
        <f>Plan19!$G96</f>
        <v>4.2844000000000003E-8</v>
      </c>
      <c r="K87" s="6">
        <f>Plan20!$G96</f>
        <v>3.3296000000000002E-8</v>
      </c>
      <c r="L87" s="7">
        <f t="shared" si="5"/>
        <v>3.5539399999999993E-8</v>
      </c>
      <c r="M87" s="6">
        <f t="shared" si="6"/>
        <v>3.0302347475342876E-8</v>
      </c>
      <c r="N87" s="6">
        <f t="shared" si="4"/>
        <v>4.077645252465711E-8</v>
      </c>
      <c r="O87" s="6">
        <f t="shared" si="7"/>
        <v>5.2370525246571202E-9</v>
      </c>
    </row>
    <row r="88" spans="1:15" x14ac:dyDescent="0.25">
      <c r="A88" s="9">
        <v>103</v>
      </c>
      <c r="B88" s="6">
        <f>Plan11!$G97</f>
        <v>4.1109000000000001E-8</v>
      </c>
      <c r="C88" s="6">
        <f>Plan12!$G97</f>
        <v>4.5803000000000003E-8</v>
      </c>
      <c r="D88" s="6">
        <f>Plan13!$G97</f>
        <v>3.1737000000000002E-8</v>
      </c>
      <c r="E88" s="6">
        <f>Plan14!$G97</f>
        <v>3.2713000000000003E-8</v>
      </c>
      <c r="F88" s="6">
        <f>Plan15!$G97</f>
        <v>2.9350999999999999E-8</v>
      </c>
      <c r="G88" s="6">
        <f>Plan16!$G97</f>
        <v>2.4319000000000001E-8</v>
      </c>
      <c r="H88" s="6">
        <f>Plan17!$G97</f>
        <v>4.3614999999999997E-8</v>
      </c>
      <c r="I88" s="6">
        <f>Plan18!$G97</f>
        <v>3.0335E-8</v>
      </c>
      <c r="J88" s="6">
        <f>Plan19!$G97</f>
        <v>4.3008999999999998E-8</v>
      </c>
      <c r="K88" s="6">
        <f>Plan20!$G97</f>
        <v>3.3646000000000002E-8</v>
      </c>
      <c r="L88" s="7">
        <f t="shared" si="5"/>
        <v>3.5563699999999997E-8</v>
      </c>
      <c r="M88" s="6">
        <f t="shared" si="6"/>
        <v>3.0368517308644638E-8</v>
      </c>
      <c r="N88" s="6">
        <f t="shared" si="4"/>
        <v>4.0758882691355356E-8</v>
      </c>
      <c r="O88" s="6">
        <f t="shared" si="7"/>
        <v>5.1951826913553611E-9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3.001419E-2</v>
      </c>
    </row>
    <row r="4" spans="2:12" x14ac:dyDescent="0.25">
      <c r="B4" t="s">
        <v>29</v>
      </c>
      <c r="C4" t="s">
        <v>28</v>
      </c>
      <c r="D4" s="11">
        <v>3.001177E-2</v>
      </c>
    </row>
    <row r="5" spans="2:12" x14ac:dyDescent="0.25">
      <c r="B5" t="s">
        <v>30</v>
      </c>
      <c r="C5" t="s">
        <v>28</v>
      </c>
      <c r="D5" s="11">
        <v>3.0013310000000001E-2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5.9154000000000001E-7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3.4555999999999998E-7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1.7819999999999999E-7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1.7863999999999999E-7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1.6847E-7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1.2172000000000001E-7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9.6563000000000002E-8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1.0913E-7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1.0035E-7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8.1869000000000003E-8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8.7599000000000002E-8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8.5464000000000003E-8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7.2219000000000006E-8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6.8626999999999996E-8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6.8672999999999996E-8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6.1951999999999998E-8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5.8456999999999999E-8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6.1321999999999998E-8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5.8297000000000002E-8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5.6147E-8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5.6231999999999997E-8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5.3949000000000002E-8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5.1129000000000001E-8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5.0385999999999999E-8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5.0557000000000001E-8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4.8750000000000003E-8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4.8160000000000002E-8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4.9392999999999998E-8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4.7854E-8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4.6224999999999999E-8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4.7070999999999998E-8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4.5943999999999998E-8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4.4706999999999998E-8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4.5107000000000002E-8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4.5453999999999998E-8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4.4717999999999997E-8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4.4716000000000002E-8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4.5275E-8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4.4508999999999998E-8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4.4263999999999999E-8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4.5183000000000002E-8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4.5277999999999997E-8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4.5097999999999998E-8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4.5880999999999999E-8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4.6141000000000003E-8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4.5746999999999999E-8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4.6487999999999999E-8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4.6962000000000001E-8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4.6534999999999999E-8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4.7029999999999998E-8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4.7598E-8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4.7221999999999998E-8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4.7224E-8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4.7644E-8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4.7647000000000003E-8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4.7592E-8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4.8107000000000002E-8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4.8496E-8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4.8152E-8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4.8486000000000002E-8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4.8646999999999999E-8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4.8142000000000002E-8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4.8435999999999998E-8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4.8779999999999997E-8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4.8750999999999998E-8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4.8908999999999998E-8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4.9251000000000002E-8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4.9276999999999998E-8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4.9107999999999999E-8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4.9366E-8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4.9444999999999997E-8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4.9187000000000002E-8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4.8894000000000001E-8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4.8563999999999997E-8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4.8154000000000002E-8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4.8120999999999998E-8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4.7666999999999999E-8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4.7478999999999998E-8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4.7337000000000002E-8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4.6859999999999997E-8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4.6364999999999999E-8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4.5260999999999997E-8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4.4379000000000003E-8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4.3566000000000001E-8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4.2663999999999997E-8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4.1902E-8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4.1109000000000001E-8</v>
      </c>
      <c r="H97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3.0014140000000002E-2</v>
      </c>
    </row>
    <row r="4" spans="2:12" x14ac:dyDescent="0.25">
      <c r="B4" t="s">
        <v>29</v>
      </c>
      <c r="C4" t="s">
        <v>28</v>
      </c>
      <c r="D4" s="11">
        <v>3.001177E-2</v>
      </c>
    </row>
    <row r="5" spans="2:12" x14ac:dyDescent="0.25">
      <c r="B5" t="s">
        <v>30</v>
      </c>
      <c r="C5" t="s">
        <v>28</v>
      </c>
      <c r="D5" s="11">
        <v>3.0013209999999999E-2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5.3959999999999999E-7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3.2511999999999999E-7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1.727E-7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1.7407E-7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1.7347E-7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1.2827E-7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9.5923000000000005E-8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1.0356E-7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9.1438000000000001E-8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7.1032999999999998E-8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7.5055999999999994E-8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7.5650999999999994E-8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-1</v>
      </c>
      <c r="F23" s="11">
        <v>0</v>
      </c>
      <c r="G23" s="11">
        <v>6.3900999999999998E-8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6.3021999999999994E-8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6.6368000000000002E-8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-1</v>
      </c>
      <c r="F26" s="11">
        <v>0</v>
      </c>
      <c r="G26" s="11">
        <v>5.9785000000000002E-8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5.4074999999999999E-8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5.6478999999999999E-8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5.4926999999999999E-8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5.0190000000000001E-8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5.1439000000000002E-8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5.2294999999999999E-8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4.9554000000000002E-8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4.8879999999999998E-8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4.9771000000000003E-8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4.8481000000000002E-8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4.5923E-8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4.6952999999999997E-8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4.6796999999999999E-8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4.5406000000000003E-8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4.6065999999999997E-8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4.6067999999999999E-8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4.5292E-8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4.4937000000000001E-8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4.5129E-8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4.4781000000000002E-8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4.4137E-8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4.4606999999999997E-8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4.4256999999999997E-8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4.3853000000000002E-8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4.4324E-8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4.402E-8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4.3767999999999999E-8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4.4187999999999998E-8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4.4497999999999999E-8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4.4193999999999999E-8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4.4108E-8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4.4320999999999997E-8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4.3946000000000002E-8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4.3602000000000002E-8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4.3845E-8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4.3577E-8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4.3142999999999998E-8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4.3353999999999999E-8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4.3289999999999999E-8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4.3013999999999997E-8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4.3064000000000001E-8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4.3316000000000002E-8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4.3133E-8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4.2838000000000003E-8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4.3022E-8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4.2796000000000002E-8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4.2492000000000001E-8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4.2789E-8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4.2750000000000002E-8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4.2515000000000001E-8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4.2470000000000002E-8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4.2604000000000002E-8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4.2494000000000003E-8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4.2234E-8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4.2505999999999997E-8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4.2178000000000002E-8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4.2530999999999999E-8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4.245E-8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4.2692000000000003E-8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4.2834999999999999E-8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4.2821999999999998E-8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4.3219999999999999E-8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4.3219999999999999E-8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4.3345000000000002E-8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4.3713999999999997E-8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4.4009000000000001E-8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4.4535000000000001E-8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4.4691E-8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4.5101000000000001E-8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4.5552000000000003E-8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4.5803000000000003E-8</v>
      </c>
      <c r="H97" s="1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3.0014010000000001E-2</v>
      </c>
    </row>
    <row r="4" spans="2:12" x14ac:dyDescent="0.25">
      <c r="B4" t="s">
        <v>29</v>
      </c>
      <c r="C4" t="s">
        <v>28</v>
      </c>
      <c r="D4" s="11">
        <v>3.0011630000000001E-2</v>
      </c>
    </row>
    <row r="5" spans="2:12" x14ac:dyDescent="0.25">
      <c r="B5" t="s">
        <v>30</v>
      </c>
      <c r="C5" t="s">
        <v>28</v>
      </c>
      <c r="D5" s="11">
        <v>3.0013169999999999E-2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5.7637000000000002E-7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3.2921000000000002E-7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1.6360999999999999E-7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1.7527999999999999E-7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2</v>
      </c>
      <c r="F15" s="11">
        <v>0</v>
      </c>
      <c r="G15" s="11">
        <v>1.7130000000000001E-7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1.2349999999999999E-7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9.2413999999999996E-8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1.0613E-7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9.2789999999999999E-8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7.226E-8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8.2050999999999998E-8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8.1117999999999999E-8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6.7309999999999999E-8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6.6781999999999995E-8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7.0655000000000006E-8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6.1317999999999994E-8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5.6139999999999998E-8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6.0617999999999994E-8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5.7078999999999998E-8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5.1091999999999999E-8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5.3028999999999998E-8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5.3741999999999999E-8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4.8254000000000003E-8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4.7677999999999999E-8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4.9876999999999997E-8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4.5714000000000002E-8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4.3316999999999997E-8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4.4718999999999998E-8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4.3365999999999999E-8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4.0493999999999999E-8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4.0733999999999999E-8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4.1805999999999997E-8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3.8601999999999997E-8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3.7865000000000002E-8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3.9652999999999998E-8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3.7447999999999999E-8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3.6207000000000001E-8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3.7160000000000003E-8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3.6698000000000002E-8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3.4844999999999999E-8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3.4790000000000002E-8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3.5743999999999999E-8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3.3490999999999999E-8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3.2783999999999998E-8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3.3598000000000001E-8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3.2036000000000003E-8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3.0756000000000001E-8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3.0851999999999997E-8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3.0594999999999997E-8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2.8836999999999999E-8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2.8530000000000001E-8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2.9331E-8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2.803E-8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2.7511999999999998E-8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2.8325000000000001E-8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2.7380999999999999E-8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2.6321999999999999E-8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2.6886E-8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2.6959E-8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2.5944999999999998E-8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2.6139E-8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2.7021999999999999E-8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2.6192999999999998E-8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2.5717000000000001E-8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2.6432000000000001E-8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2.5804000000000001E-8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2.5273999999999999E-8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2.5822000000000001E-8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2.6151E-8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2.5548000000000002E-8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2.5704E-8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2.5667000000000001E-8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2.6031E-8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2.5270000000000001E-8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2.6248999999999999E-8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2.606E-8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2.6370000000000001E-8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2.6969999999999999E-8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2.6871E-8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2.7797000000000001E-8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2.7867999999999998E-8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2.8361999999999999E-8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2.9136E-8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2.9346E-8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3.0463E-8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3.0985999999999997E-8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3.1737000000000002E-8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3.001413E-2</v>
      </c>
    </row>
    <row r="4" spans="2:12" x14ac:dyDescent="0.25">
      <c r="B4" t="s">
        <v>29</v>
      </c>
      <c r="C4" t="s">
        <v>28</v>
      </c>
      <c r="D4" s="11">
        <v>3.0011699999999999E-2</v>
      </c>
    </row>
    <row r="5" spans="2:12" x14ac:dyDescent="0.25">
      <c r="B5" t="s">
        <v>30</v>
      </c>
      <c r="C5" t="s">
        <v>28</v>
      </c>
      <c r="D5" s="11">
        <v>3.0013120000000001E-2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5.6141E-7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3.2249000000000002E-7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1.5767999999999999E-7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1.6554000000000001E-7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1.6222999999999999E-7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1.2031E-7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9.9400000000000003E-8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1.1054E-7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1.016E-7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8.5832999999999998E-8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8.9861E-8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8.7676999999999998E-8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7.6551999999999996E-8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7.3684E-8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7.3924999999999995E-8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6.8740000000000005E-8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6.3814000000000005E-8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6.4513000000000003E-8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6.2943999999999998E-8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5.8079E-8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5.7478E-8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5.7537000000000001E-8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5.4585000000000002E-8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5.2427999999999998E-8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5.1805E-8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4.9774E-8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4.7345999999999999E-8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4.6987999999999997E-8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4.6883999999999998E-8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4.5155000000000003E-8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4.4063000000000002E-8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4.4227999999999997E-8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4.2529000000000003E-8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4.1233000000000003E-8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4.0900999999999997E-8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3.9971000000000001E-8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3.9204999999999999E-8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3.8252999999999998E-8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3.8237E-8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3.7467000000000001E-8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3.6588000000000003E-8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3.6778E-8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3.6162000000000003E-8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3.5401E-8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3.4923000000000001E-8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3.4438E-8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3.3752999999999998E-8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3.3302999999999997E-8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3.3311E-8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3.2824000000000003E-8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3.2117000000000002E-8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3.2141999999999998E-8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3.1786999999999999E-8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3.1055999999999997E-8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3.0973000000000002E-8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3.0867000000000001E-8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3.0446E-8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3.0091000000000001E-8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3.0098999999999997E-8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2.9662000000000001E-8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2.9267E-8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2.9329999999999999E-8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2.9137000000000001E-8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2.8911E-8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2.9072999999999998E-8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2.9083E-8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2.8658999999999999E-8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2.8746999999999999E-8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2.8762E-8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2.8512000000000001E-8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2.8632999999999999E-8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2.8731000000000001E-8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2.8967000000000001E-8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2.8903000000000001E-8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2.9014999999999999E-8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2.9189999999999999E-8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2.9346E-8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2.9882000000000002E-8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3.0221999999999998E-8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3.0476000000000001E-8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3.0769999999999997E-8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3.1015999999999998E-8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3.1483999999999999E-8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3.1734999999999999E-8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3.2100000000000003E-8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3.25E-8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3.2713000000000003E-8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418</v>
      </c>
      <c r="H2" t="s">
        <v>26</v>
      </c>
      <c r="I2">
        <v>418</v>
      </c>
    </row>
    <row r="3" spans="2:12" x14ac:dyDescent="0.25">
      <c r="B3" t="s">
        <v>27</v>
      </c>
      <c r="C3" t="s">
        <v>28</v>
      </c>
      <c r="D3" s="11">
        <v>3.001405E-2</v>
      </c>
    </row>
    <row r="4" spans="2:12" x14ac:dyDescent="0.25">
      <c r="B4" t="s">
        <v>29</v>
      </c>
      <c r="C4" t="s">
        <v>28</v>
      </c>
      <c r="D4" s="11">
        <v>3.0011630000000001E-2</v>
      </c>
    </row>
    <row r="5" spans="2:12" x14ac:dyDescent="0.25">
      <c r="B5" t="s">
        <v>30</v>
      </c>
      <c r="C5" t="s">
        <v>28</v>
      </c>
      <c r="D5" s="11">
        <v>3.0013100000000001E-2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417</v>
      </c>
      <c r="E11">
        <v>1</v>
      </c>
      <c r="F11" s="11">
        <v>0</v>
      </c>
      <c r="G11" s="11">
        <v>5.7502999999999998E-7</v>
      </c>
      <c r="H11" s="11">
        <v>0</v>
      </c>
    </row>
    <row r="12" spans="2:12" x14ac:dyDescent="0.25">
      <c r="B12">
        <v>2</v>
      </c>
      <c r="C12" s="11">
        <v>2</v>
      </c>
      <c r="D12">
        <v>415</v>
      </c>
      <c r="E12">
        <v>1</v>
      </c>
      <c r="F12" s="11">
        <v>0</v>
      </c>
      <c r="G12" s="11">
        <v>3.2361000000000002E-7</v>
      </c>
      <c r="H12" s="11">
        <v>0</v>
      </c>
    </row>
    <row r="13" spans="2:12" x14ac:dyDescent="0.25">
      <c r="B13">
        <v>3</v>
      </c>
      <c r="C13" s="11">
        <v>3</v>
      </c>
      <c r="D13">
        <v>413</v>
      </c>
      <c r="E13">
        <v>0</v>
      </c>
      <c r="F13" s="11">
        <v>0</v>
      </c>
      <c r="G13" s="11">
        <v>1.6152999999999999E-7</v>
      </c>
      <c r="H13" s="11">
        <v>0</v>
      </c>
    </row>
    <row r="14" spans="2:12" x14ac:dyDescent="0.25">
      <c r="B14">
        <v>4</v>
      </c>
      <c r="C14" s="11">
        <v>4</v>
      </c>
      <c r="D14">
        <v>411</v>
      </c>
      <c r="E14">
        <v>1</v>
      </c>
      <c r="F14" s="11">
        <v>0</v>
      </c>
      <c r="G14" s="11">
        <v>1.7611000000000001E-7</v>
      </c>
      <c r="H14" s="11">
        <v>0</v>
      </c>
    </row>
    <row r="15" spans="2:12" x14ac:dyDescent="0.25">
      <c r="B15">
        <v>5</v>
      </c>
      <c r="C15" s="11">
        <v>5</v>
      </c>
      <c r="D15">
        <v>409</v>
      </c>
      <c r="E15">
        <v>1</v>
      </c>
      <c r="F15" s="11">
        <v>0</v>
      </c>
      <c r="G15" s="11">
        <v>1.7092E-7</v>
      </c>
      <c r="H15" s="11">
        <v>0</v>
      </c>
    </row>
    <row r="16" spans="2:12" x14ac:dyDescent="0.25">
      <c r="B16">
        <v>6</v>
      </c>
      <c r="C16" s="11">
        <v>6</v>
      </c>
      <c r="D16">
        <v>407</v>
      </c>
      <c r="E16">
        <v>0</v>
      </c>
      <c r="F16" s="11">
        <v>0</v>
      </c>
      <c r="G16" s="11">
        <v>1.2921E-7</v>
      </c>
      <c r="H16" s="11">
        <v>0</v>
      </c>
    </row>
    <row r="17" spans="2:8" x14ac:dyDescent="0.25">
      <c r="B17">
        <v>7</v>
      </c>
      <c r="C17" s="11">
        <v>7</v>
      </c>
      <c r="D17">
        <v>405</v>
      </c>
      <c r="E17">
        <v>0</v>
      </c>
      <c r="F17" s="11">
        <v>0</v>
      </c>
      <c r="G17" s="11">
        <v>1.0344000000000001E-7</v>
      </c>
      <c r="H17" s="11">
        <v>0</v>
      </c>
    </row>
    <row r="18" spans="2:8" x14ac:dyDescent="0.25">
      <c r="B18">
        <v>8</v>
      </c>
      <c r="C18" s="11">
        <v>8</v>
      </c>
      <c r="D18">
        <v>403</v>
      </c>
      <c r="E18">
        <v>0</v>
      </c>
      <c r="F18" s="11">
        <v>0</v>
      </c>
      <c r="G18" s="11">
        <v>1.0771E-7</v>
      </c>
      <c r="H18" s="11">
        <v>0</v>
      </c>
    </row>
    <row r="19" spans="2:8" x14ac:dyDescent="0.25">
      <c r="B19">
        <v>9</v>
      </c>
      <c r="C19" s="11">
        <v>9</v>
      </c>
      <c r="D19">
        <v>401</v>
      </c>
      <c r="E19">
        <v>0</v>
      </c>
      <c r="F19" s="11">
        <v>0</v>
      </c>
      <c r="G19" s="11">
        <v>9.1864999999999996E-8</v>
      </c>
      <c r="H19" s="11">
        <v>0</v>
      </c>
    </row>
    <row r="20" spans="2:8" x14ac:dyDescent="0.25">
      <c r="B20">
        <v>10</v>
      </c>
      <c r="C20" s="11">
        <v>10</v>
      </c>
      <c r="D20">
        <v>399</v>
      </c>
      <c r="E20">
        <v>0</v>
      </c>
      <c r="F20" s="11">
        <v>0</v>
      </c>
      <c r="G20" s="11">
        <v>7.0396000000000004E-8</v>
      </c>
      <c r="H20" s="11">
        <v>0</v>
      </c>
    </row>
    <row r="21" spans="2:8" x14ac:dyDescent="0.25">
      <c r="B21">
        <v>11</v>
      </c>
      <c r="C21" s="11">
        <v>11</v>
      </c>
      <c r="D21">
        <v>397</v>
      </c>
      <c r="E21">
        <v>0</v>
      </c>
      <c r="F21" s="11">
        <v>0</v>
      </c>
      <c r="G21" s="11">
        <v>7.3767000000000001E-8</v>
      </c>
      <c r="H21" s="11">
        <v>0</v>
      </c>
    </row>
    <row r="22" spans="2:8" x14ac:dyDescent="0.25">
      <c r="B22">
        <v>12</v>
      </c>
      <c r="C22" s="11">
        <v>12</v>
      </c>
      <c r="D22">
        <v>395</v>
      </c>
      <c r="E22">
        <v>2</v>
      </c>
      <c r="F22" s="11">
        <v>0</v>
      </c>
      <c r="G22" s="11">
        <v>7.0502000000000005E-8</v>
      </c>
      <c r="H22" s="11">
        <v>0</v>
      </c>
    </row>
    <row r="23" spans="2:8" x14ac:dyDescent="0.25">
      <c r="B23">
        <v>13</v>
      </c>
      <c r="C23" s="11">
        <v>13</v>
      </c>
      <c r="D23">
        <v>393</v>
      </c>
      <c r="E23">
        <v>-1</v>
      </c>
      <c r="F23" s="11">
        <v>0</v>
      </c>
      <c r="G23" s="11">
        <v>5.8344999999999997E-8</v>
      </c>
      <c r="H23" s="11">
        <v>0</v>
      </c>
    </row>
    <row r="24" spans="2:8" x14ac:dyDescent="0.25">
      <c r="B24">
        <v>14</v>
      </c>
      <c r="C24" s="11">
        <v>14</v>
      </c>
      <c r="D24">
        <v>391</v>
      </c>
      <c r="E24">
        <v>-1</v>
      </c>
      <c r="F24" s="11">
        <v>0</v>
      </c>
      <c r="G24" s="11">
        <v>5.7764E-8</v>
      </c>
      <c r="H24" s="11">
        <v>0</v>
      </c>
    </row>
    <row r="25" spans="2:8" x14ac:dyDescent="0.25">
      <c r="B25">
        <v>15</v>
      </c>
      <c r="C25" s="11">
        <v>15</v>
      </c>
      <c r="D25">
        <v>389</v>
      </c>
      <c r="E25">
        <v>0</v>
      </c>
      <c r="F25" s="11">
        <v>0</v>
      </c>
      <c r="G25" s="11">
        <v>5.9546000000000003E-8</v>
      </c>
      <c r="H25" s="11">
        <v>0</v>
      </c>
    </row>
    <row r="26" spans="2:8" x14ac:dyDescent="0.25">
      <c r="B26">
        <v>16</v>
      </c>
      <c r="C26" s="11">
        <v>16</v>
      </c>
      <c r="D26">
        <v>387</v>
      </c>
      <c r="E26">
        <v>-1</v>
      </c>
      <c r="F26" s="11">
        <v>0</v>
      </c>
      <c r="G26" s="11">
        <v>5.2620999999999999E-8</v>
      </c>
      <c r="H26" s="11">
        <v>0</v>
      </c>
    </row>
    <row r="27" spans="2:8" x14ac:dyDescent="0.25">
      <c r="B27">
        <v>17</v>
      </c>
      <c r="C27" s="11">
        <v>17</v>
      </c>
      <c r="D27">
        <v>385</v>
      </c>
      <c r="E27">
        <v>0</v>
      </c>
      <c r="F27" s="11">
        <v>0</v>
      </c>
      <c r="G27" s="11">
        <v>4.8821999999999999E-8</v>
      </c>
      <c r="H27" s="11">
        <v>0</v>
      </c>
    </row>
    <row r="28" spans="2:8" x14ac:dyDescent="0.25">
      <c r="B28">
        <v>18</v>
      </c>
      <c r="C28" s="11">
        <v>18</v>
      </c>
      <c r="D28">
        <v>383</v>
      </c>
      <c r="E28">
        <v>-1</v>
      </c>
      <c r="F28" s="11">
        <v>0</v>
      </c>
      <c r="G28" s="11">
        <v>5.1458000000000003E-8</v>
      </c>
      <c r="H28" s="11">
        <v>0</v>
      </c>
    </row>
    <row r="29" spans="2:8" x14ac:dyDescent="0.25">
      <c r="B29">
        <v>19</v>
      </c>
      <c r="C29" s="11">
        <v>19</v>
      </c>
      <c r="D29">
        <v>381</v>
      </c>
      <c r="E29">
        <v>-1</v>
      </c>
      <c r="F29" s="11">
        <v>0</v>
      </c>
      <c r="G29" s="11">
        <v>4.9103E-8</v>
      </c>
      <c r="H29" s="11">
        <v>0</v>
      </c>
    </row>
    <row r="30" spans="2:8" x14ac:dyDescent="0.25">
      <c r="B30">
        <v>20</v>
      </c>
      <c r="C30" s="11">
        <v>20</v>
      </c>
      <c r="D30">
        <v>379</v>
      </c>
      <c r="E30">
        <v>-1</v>
      </c>
      <c r="F30" s="11">
        <v>0</v>
      </c>
      <c r="G30" s="11">
        <v>4.5097999999999998E-8</v>
      </c>
      <c r="H30" s="11">
        <v>0</v>
      </c>
    </row>
    <row r="31" spans="2:8" x14ac:dyDescent="0.25">
      <c r="B31">
        <v>21</v>
      </c>
      <c r="C31" s="11">
        <v>21</v>
      </c>
      <c r="D31">
        <v>377</v>
      </c>
      <c r="E31">
        <v>-1</v>
      </c>
      <c r="F31" s="11">
        <v>0</v>
      </c>
      <c r="G31" s="11">
        <v>4.5794E-8</v>
      </c>
      <c r="H31" s="11">
        <v>0</v>
      </c>
    </row>
    <row r="32" spans="2:8" x14ac:dyDescent="0.25">
      <c r="B32">
        <v>22</v>
      </c>
      <c r="C32" s="11">
        <v>22</v>
      </c>
      <c r="D32">
        <v>375</v>
      </c>
      <c r="E32">
        <v>-1</v>
      </c>
      <c r="F32" s="11">
        <v>0</v>
      </c>
      <c r="G32" s="11">
        <v>4.5347000000000002E-8</v>
      </c>
      <c r="H32" s="11">
        <v>0</v>
      </c>
    </row>
    <row r="33" spans="2:8" x14ac:dyDescent="0.25">
      <c r="B33">
        <v>23</v>
      </c>
      <c r="C33" s="11">
        <v>23</v>
      </c>
      <c r="D33">
        <v>373</v>
      </c>
      <c r="E33">
        <v>-1</v>
      </c>
      <c r="F33" s="11">
        <v>0</v>
      </c>
      <c r="G33" s="11">
        <v>4.1770999999999997E-8</v>
      </c>
      <c r="H33" s="11">
        <v>0</v>
      </c>
    </row>
    <row r="34" spans="2:8" x14ac:dyDescent="0.25">
      <c r="B34">
        <v>24</v>
      </c>
      <c r="C34" s="11">
        <v>24</v>
      </c>
      <c r="D34">
        <v>371</v>
      </c>
      <c r="E34">
        <v>-1</v>
      </c>
      <c r="F34" s="11">
        <v>0</v>
      </c>
      <c r="G34" s="11">
        <v>4.1636000000000003E-8</v>
      </c>
      <c r="H34" s="11">
        <v>0</v>
      </c>
    </row>
    <row r="35" spans="2:8" x14ac:dyDescent="0.25">
      <c r="B35">
        <v>25</v>
      </c>
      <c r="C35" s="11">
        <v>25</v>
      </c>
      <c r="D35">
        <v>369</v>
      </c>
      <c r="E35">
        <v>-1</v>
      </c>
      <c r="F35" s="11">
        <v>0</v>
      </c>
      <c r="G35" s="11">
        <v>4.2401999999999998E-8</v>
      </c>
      <c r="H35" s="11">
        <v>0</v>
      </c>
    </row>
    <row r="36" spans="2:8" x14ac:dyDescent="0.25">
      <c r="B36">
        <v>26</v>
      </c>
      <c r="C36" s="11">
        <v>26</v>
      </c>
      <c r="D36">
        <v>367</v>
      </c>
      <c r="E36">
        <v>-1</v>
      </c>
      <c r="F36" s="11">
        <v>0</v>
      </c>
      <c r="G36" s="11">
        <v>4.0163E-8</v>
      </c>
      <c r="H36" s="11">
        <v>0</v>
      </c>
    </row>
    <row r="37" spans="2:8" x14ac:dyDescent="0.25">
      <c r="B37">
        <v>27</v>
      </c>
      <c r="C37" s="11">
        <v>27</v>
      </c>
      <c r="D37">
        <v>365</v>
      </c>
      <c r="E37">
        <v>0</v>
      </c>
      <c r="F37" s="11">
        <v>0</v>
      </c>
      <c r="G37" s="11">
        <v>3.8611000000000001E-8</v>
      </c>
      <c r="H37" s="11">
        <v>0</v>
      </c>
    </row>
    <row r="38" spans="2:8" x14ac:dyDescent="0.25">
      <c r="B38">
        <v>28</v>
      </c>
      <c r="C38" s="11">
        <v>28</v>
      </c>
      <c r="D38">
        <v>363</v>
      </c>
      <c r="E38">
        <v>-1</v>
      </c>
      <c r="F38" s="11">
        <v>0</v>
      </c>
      <c r="G38" s="11">
        <v>3.8683000000000003E-8</v>
      </c>
      <c r="H38" s="11">
        <v>0</v>
      </c>
    </row>
    <row r="39" spans="2:8" x14ac:dyDescent="0.25">
      <c r="B39">
        <v>29</v>
      </c>
      <c r="C39" s="11">
        <v>29</v>
      </c>
      <c r="D39">
        <v>361</v>
      </c>
      <c r="E39">
        <v>-1</v>
      </c>
      <c r="F39" s="11">
        <v>0</v>
      </c>
      <c r="G39" s="11">
        <v>3.7758E-8</v>
      </c>
      <c r="H39" s="11">
        <v>0</v>
      </c>
    </row>
    <row r="40" spans="2:8" x14ac:dyDescent="0.25">
      <c r="B40">
        <v>30</v>
      </c>
      <c r="C40" s="11">
        <v>30</v>
      </c>
      <c r="D40">
        <v>359</v>
      </c>
      <c r="E40">
        <v>-1</v>
      </c>
      <c r="F40" s="11">
        <v>0</v>
      </c>
      <c r="G40" s="11">
        <v>3.5389E-8</v>
      </c>
      <c r="H40" s="11">
        <v>0</v>
      </c>
    </row>
    <row r="41" spans="2:8" x14ac:dyDescent="0.25">
      <c r="B41">
        <v>31</v>
      </c>
      <c r="C41" s="11">
        <v>31</v>
      </c>
      <c r="D41">
        <v>357</v>
      </c>
      <c r="E41">
        <v>0</v>
      </c>
      <c r="F41" s="11">
        <v>0</v>
      </c>
      <c r="G41" s="11">
        <v>3.5432000000000003E-8</v>
      </c>
      <c r="H41" s="11">
        <v>0</v>
      </c>
    </row>
    <row r="42" spans="2:8" x14ac:dyDescent="0.25">
      <c r="B42">
        <v>32</v>
      </c>
      <c r="C42" s="11">
        <v>32</v>
      </c>
      <c r="D42">
        <v>355</v>
      </c>
      <c r="E42">
        <v>-1</v>
      </c>
      <c r="F42" s="11">
        <v>0</v>
      </c>
      <c r="G42" s="11">
        <v>3.5558E-8</v>
      </c>
      <c r="H42" s="11">
        <v>0</v>
      </c>
    </row>
    <row r="43" spans="2:8" x14ac:dyDescent="0.25">
      <c r="B43">
        <v>33</v>
      </c>
      <c r="C43" s="11">
        <v>33</v>
      </c>
      <c r="D43">
        <v>353</v>
      </c>
      <c r="E43">
        <v>-1</v>
      </c>
      <c r="F43" s="11">
        <v>0</v>
      </c>
      <c r="G43" s="11">
        <v>3.3616000000000001E-8</v>
      </c>
      <c r="H43" s="11">
        <v>0</v>
      </c>
    </row>
    <row r="44" spans="2:8" x14ac:dyDescent="0.25">
      <c r="B44">
        <v>34</v>
      </c>
      <c r="C44" s="11">
        <v>34</v>
      </c>
      <c r="D44">
        <v>351</v>
      </c>
      <c r="E44">
        <v>-1</v>
      </c>
      <c r="F44" s="11">
        <v>0</v>
      </c>
      <c r="G44" s="11">
        <v>3.3574E-8</v>
      </c>
      <c r="H44" s="11">
        <v>0</v>
      </c>
    </row>
    <row r="45" spans="2:8" x14ac:dyDescent="0.25">
      <c r="B45">
        <v>35</v>
      </c>
      <c r="C45" s="11">
        <v>35</v>
      </c>
      <c r="D45">
        <v>349</v>
      </c>
      <c r="E45">
        <v>-1</v>
      </c>
      <c r="F45" s="11">
        <v>0</v>
      </c>
      <c r="G45" s="11">
        <v>3.3632E-8</v>
      </c>
      <c r="H45" s="11">
        <v>0</v>
      </c>
    </row>
    <row r="46" spans="2:8" x14ac:dyDescent="0.25">
      <c r="B46">
        <v>36</v>
      </c>
      <c r="C46" s="11">
        <v>36</v>
      </c>
      <c r="D46">
        <v>347</v>
      </c>
      <c r="E46">
        <v>-1</v>
      </c>
      <c r="F46" s="11">
        <v>0</v>
      </c>
      <c r="G46" s="11">
        <v>3.2281000000000003E-8</v>
      </c>
      <c r="H46" s="11">
        <v>0</v>
      </c>
    </row>
    <row r="47" spans="2:8" x14ac:dyDescent="0.25">
      <c r="B47">
        <v>37</v>
      </c>
      <c r="C47" s="11">
        <v>37</v>
      </c>
      <c r="D47">
        <v>345</v>
      </c>
      <c r="E47">
        <v>-1</v>
      </c>
      <c r="F47" s="11">
        <v>0</v>
      </c>
      <c r="G47" s="11">
        <v>3.1596E-8</v>
      </c>
      <c r="H47" s="11">
        <v>0</v>
      </c>
    </row>
    <row r="48" spans="2:8" x14ac:dyDescent="0.25">
      <c r="B48">
        <v>38</v>
      </c>
      <c r="C48" s="11">
        <v>38</v>
      </c>
      <c r="D48">
        <v>343</v>
      </c>
      <c r="E48">
        <v>-1</v>
      </c>
      <c r="F48" s="11">
        <v>0</v>
      </c>
      <c r="G48" s="11">
        <v>3.1283000000000003E-8</v>
      </c>
      <c r="H48" s="11">
        <v>0</v>
      </c>
    </row>
    <row r="49" spans="2:8" x14ac:dyDescent="0.25">
      <c r="B49">
        <v>39</v>
      </c>
      <c r="C49" s="11">
        <v>39</v>
      </c>
      <c r="D49">
        <v>341</v>
      </c>
      <c r="E49">
        <v>-1</v>
      </c>
      <c r="F49" s="11">
        <v>0</v>
      </c>
      <c r="G49" s="11">
        <v>3.1219000000000003E-8</v>
      </c>
      <c r="H49" s="11">
        <v>0</v>
      </c>
    </row>
    <row r="50" spans="2:8" x14ac:dyDescent="0.25">
      <c r="B50">
        <v>40</v>
      </c>
      <c r="C50" s="11">
        <v>40</v>
      </c>
      <c r="D50">
        <v>339</v>
      </c>
      <c r="E50">
        <v>-1</v>
      </c>
      <c r="F50" s="11">
        <v>0</v>
      </c>
      <c r="G50" s="11">
        <v>3.0526999999999999E-8</v>
      </c>
      <c r="H50" s="11">
        <v>0</v>
      </c>
    </row>
    <row r="51" spans="2:8" x14ac:dyDescent="0.25">
      <c r="B51">
        <v>41</v>
      </c>
      <c r="C51" s="11">
        <v>41</v>
      </c>
      <c r="D51">
        <v>337</v>
      </c>
      <c r="E51">
        <v>-1</v>
      </c>
      <c r="F51" s="11">
        <v>0</v>
      </c>
      <c r="G51" s="11">
        <v>3.1137999999999997E-8</v>
      </c>
      <c r="H51" s="11">
        <v>0</v>
      </c>
    </row>
    <row r="52" spans="2:8" x14ac:dyDescent="0.25">
      <c r="B52">
        <v>42</v>
      </c>
      <c r="C52" s="11">
        <v>42</v>
      </c>
      <c r="D52">
        <v>335</v>
      </c>
      <c r="E52">
        <v>-1</v>
      </c>
      <c r="F52" s="11">
        <v>0</v>
      </c>
      <c r="G52" s="11">
        <v>3.2269000000000003E-8</v>
      </c>
      <c r="H52" s="11">
        <v>0</v>
      </c>
    </row>
    <row r="53" spans="2:8" x14ac:dyDescent="0.25">
      <c r="B53">
        <v>43</v>
      </c>
      <c r="C53" s="11">
        <v>43</v>
      </c>
      <c r="D53">
        <v>333</v>
      </c>
      <c r="E53">
        <v>-1</v>
      </c>
      <c r="F53" s="11">
        <v>0</v>
      </c>
      <c r="G53" s="11">
        <v>3.1876E-8</v>
      </c>
      <c r="H53" s="11">
        <v>0</v>
      </c>
    </row>
    <row r="54" spans="2:8" x14ac:dyDescent="0.25">
      <c r="B54">
        <v>44</v>
      </c>
      <c r="C54" s="11">
        <v>44</v>
      </c>
      <c r="D54">
        <v>331</v>
      </c>
      <c r="E54">
        <v>-1</v>
      </c>
      <c r="F54" s="11">
        <v>0</v>
      </c>
      <c r="G54" s="11">
        <v>3.2057E-8</v>
      </c>
      <c r="H54" s="11">
        <v>0</v>
      </c>
    </row>
    <row r="55" spans="2:8" x14ac:dyDescent="0.25">
      <c r="B55">
        <v>45</v>
      </c>
      <c r="C55" s="11">
        <v>45</v>
      </c>
      <c r="D55">
        <v>329</v>
      </c>
      <c r="E55">
        <v>-1</v>
      </c>
      <c r="F55" s="11">
        <v>0</v>
      </c>
      <c r="G55" s="11">
        <v>3.2537000000000002E-8</v>
      </c>
      <c r="H55" s="11">
        <v>0</v>
      </c>
    </row>
    <row r="56" spans="2:8" x14ac:dyDescent="0.25">
      <c r="B56">
        <v>46</v>
      </c>
      <c r="C56" s="11">
        <v>46</v>
      </c>
      <c r="D56">
        <v>327</v>
      </c>
      <c r="E56">
        <v>-1</v>
      </c>
      <c r="F56" s="11">
        <v>0</v>
      </c>
      <c r="G56" s="11">
        <v>3.1777000000000001E-8</v>
      </c>
      <c r="H56" s="11">
        <v>0</v>
      </c>
    </row>
    <row r="57" spans="2:8" x14ac:dyDescent="0.25">
      <c r="B57">
        <v>47</v>
      </c>
      <c r="C57" s="11">
        <v>47</v>
      </c>
      <c r="D57">
        <v>325</v>
      </c>
      <c r="E57">
        <v>-1</v>
      </c>
      <c r="F57" s="11">
        <v>0</v>
      </c>
      <c r="G57" s="11">
        <v>3.1143999999999998E-8</v>
      </c>
      <c r="H57" s="11">
        <v>0</v>
      </c>
    </row>
    <row r="58" spans="2:8" x14ac:dyDescent="0.25">
      <c r="B58">
        <v>48</v>
      </c>
      <c r="C58" s="11">
        <v>48</v>
      </c>
      <c r="D58">
        <v>323</v>
      </c>
      <c r="E58">
        <v>-1</v>
      </c>
      <c r="F58" s="11">
        <v>0</v>
      </c>
      <c r="G58" s="11">
        <v>3.1236000000000003E-8</v>
      </c>
      <c r="H58" s="11">
        <v>0</v>
      </c>
    </row>
    <row r="59" spans="2:8" x14ac:dyDescent="0.25">
      <c r="B59">
        <v>49</v>
      </c>
      <c r="C59" s="11">
        <v>49</v>
      </c>
      <c r="D59">
        <v>321</v>
      </c>
      <c r="E59">
        <v>-1</v>
      </c>
      <c r="F59" s="11">
        <v>0</v>
      </c>
      <c r="G59" s="11">
        <v>3.1114999999999998E-8</v>
      </c>
      <c r="H59" s="11">
        <v>0</v>
      </c>
    </row>
    <row r="60" spans="2:8" x14ac:dyDescent="0.25">
      <c r="B60">
        <v>50</v>
      </c>
      <c r="C60" s="11">
        <v>50</v>
      </c>
      <c r="D60">
        <v>319</v>
      </c>
      <c r="E60">
        <v>-1</v>
      </c>
      <c r="F60" s="11">
        <v>0</v>
      </c>
      <c r="G60" s="11">
        <v>3.0583999999999998E-8</v>
      </c>
      <c r="H60" s="11">
        <v>0</v>
      </c>
    </row>
    <row r="61" spans="2:8" x14ac:dyDescent="0.25">
      <c r="B61">
        <v>51</v>
      </c>
      <c r="C61" s="11">
        <v>51</v>
      </c>
      <c r="D61">
        <v>317</v>
      </c>
      <c r="E61">
        <v>-1</v>
      </c>
      <c r="F61" s="11">
        <v>0</v>
      </c>
      <c r="G61" s="11">
        <v>3.0372000000000002E-8</v>
      </c>
      <c r="H61" s="11">
        <v>0</v>
      </c>
    </row>
    <row r="62" spans="2:8" x14ac:dyDescent="0.25">
      <c r="B62">
        <v>52</v>
      </c>
      <c r="C62" s="11">
        <v>52</v>
      </c>
      <c r="D62">
        <v>315</v>
      </c>
      <c r="E62">
        <v>-1</v>
      </c>
      <c r="F62" s="11">
        <v>0</v>
      </c>
      <c r="G62" s="11">
        <v>3.0736999999999999E-8</v>
      </c>
      <c r="H62" s="11">
        <v>0</v>
      </c>
    </row>
    <row r="63" spans="2:8" x14ac:dyDescent="0.25">
      <c r="B63">
        <v>53</v>
      </c>
      <c r="C63" s="11">
        <v>53</v>
      </c>
      <c r="D63">
        <v>313</v>
      </c>
      <c r="E63">
        <v>-1</v>
      </c>
      <c r="F63" s="11">
        <v>0</v>
      </c>
      <c r="G63" s="11">
        <v>3.0372999999999997E-8</v>
      </c>
      <c r="H63" s="11">
        <v>0</v>
      </c>
    </row>
    <row r="64" spans="2:8" x14ac:dyDescent="0.25">
      <c r="B64">
        <v>54</v>
      </c>
      <c r="C64" s="11">
        <v>54</v>
      </c>
      <c r="D64">
        <v>311</v>
      </c>
      <c r="E64">
        <v>-1</v>
      </c>
      <c r="F64" s="11">
        <v>0</v>
      </c>
      <c r="G64" s="11">
        <v>2.9993999999999997E-8</v>
      </c>
      <c r="H64" s="11">
        <v>0</v>
      </c>
    </row>
    <row r="65" spans="2:8" x14ac:dyDescent="0.25">
      <c r="B65">
        <v>55</v>
      </c>
      <c r="C65" s="11">
        <v>55</v>
      </c>
      <c r="D65">
        <v>309</v>
      </c>
      <c r="E65">
        <v>-1</v>
      </c>
      <c r="F65" s="11">
        <v>0</v>
      </c>
      <c r="G65" s="11">
        <v>3.0442000000000002E-8</v>
      </c>
      <c r="H65" s="11">
        <v>0</v>
      </c>
    </row>
    <row r="66" spans="2:8" x14ac:dyDescent="0.25">
      <c r="B66">
        <v>56</v>
      </c>
      <c r="C66" s="11">
        <v>56</v>
      </c>
      <c r="D66">
        <v>307</v>
      </c>
      <c r="E66">
        <v>-1</v>
      </c>
      <c r="F66" s="11">
        <v>0</v>
      </c>
      <c r="G66" s="11">
        <v>3.0335E-8</v>
      </c>
      <c r="H66" s="11">
        <v>0</v>
      </c>
    </row>
    <row r="67" spans="2:8" x14ac:dyDescent="0.25">
      <c r="B67">
        <v>57</v>
      </c>
      <c r="C67" s="11">
        <v>57</v>
      </c>
      <c r="D67">
        <v>305</v>
      </c>
      <c r="E67">
        <v>-1</v>
      </c>
      <c r="F67" s="11">
        <v>0</v>
      </c>
      <c r="G67" s="11">
        <v>2.9812999999999997E-8</v>
      </c>
      <c r="H67" s="11">
        <v>0</v>
      </c>
    </row>
    <row r="68" spans="2:8" x14ac:dyDescent="0.25">
      <c r="B68">
        <v>58</v>
      </c>
      <c r="C68" s="11">
        <v>58</v>
      </c>
      <c r="D68">
        <v>303</v>
      </c>
      <c r="E68">
        <v>-1</v>
      </c>
      <c r="F68" s="11">
        <v>0</v>
      </c>
      <c r="G68" s="11">
        <v>3.0313000000000002E-8</v>
      </c>
      <c r="H68" s="11">
        <v>0</v>
      </c>
    </row>
    <row r="69" spans="2:8" x14ac:dyDescent="0.25">
      <c r="B69">
        <v>59</v>
      </c>
      <c r="C69" s="11">
        <v>59</v>
      </c>
      <c r="D69">
        <v>301</v>
      </c>
      <c r="E69">
        <v>-1</v>
      </c>
      <c r="F69" s="11">
        <v>0</v>
      </c>
      <c r="G69" s="11">
        <v>3.0762000000000001E-8</v>
      </c>
      <c r="H69" s="11">
        <v>0</v>
      </c>
    </row>
    <row r="70" spans="2:8" x14ac:dyDescent="0.25">
      <c r="B70">
        <v>60</v>
      </c>
      <c r="C70" s="11">
        <v>60</v>
      </c>
      <c r="D70">
        <v>299</v>
      </c>
      <c r="E70">
        <v>-1</v>
      </c>
      <c r="F70" s="11">
        <v>0</v>
      </c>
      <c r="G70" s="11">
        <v>3.0412000000000001E-8</v>
      </c>
      <c r="H70" s="11">
        <v>0</v>
      </c>
    </row>
    <row r="71" spans="2:8" x14ac:dyDescent="0.25">
      <c r="B71">
        <v>61</v>
      </c>
      <c r="C71" s="11">
        <v>61</v>
      </c>
      <c r="D71">
        <v>297</v>
      </c>
      <c r="E71">
        <v>-1</v>
      </c>
      <c r="F71" s="11">
        <v>0</v>
      </c>
      <c r="G71" s="11">
        <v>3.0576000000000002E-8</v>
      </c>
      <c r="H71" s="11">
        <v>0</v>
      </c>
    </row>
    <row r="72" spans="2:8" x14ac:dyDescent="0.25">
      <c r="B72">
        <v>62</v>
      </c>
      <c r="C72" s="11">
        <v>62</v>
      </c>
      <c r="D72">
        <v>295</v>
      </c>
      <c r="E72">
        <v>-1</v>
      </c>
      <c r="F72" s="11">
        <v>0</v>
      </c>
      <c r="G72" s="11">
        <v>3.1149000000000003E-8</v>
      </c>
      <c r="H72" s="11">
        <v>0</v>
      </c>
    </row>
    <row r="73" spans="2:8" x14ac:dyDescent="0.25">
      <c r="B73">
        <v>63</v>
      </c>
      <c r="C73" s="11">
        <v>63</v>
      </c>
      <c r="D73">
        <v>293</v>
      </c>
      <c r="E73">
        <v>-1</v>
      </c>
      <c r="F73" s="11">
        <v>0</v>
      </c>
      <c r="G73" s="11">
        <v>3.0931000000000001E-8</v>
      </c>
      <c r="H73" s="11">
        <v>0</v>
      </c>
    </row>
    <row r="74" spans="2:8" x14ac:dyDescent="0.25">
      <c r="B74">
        <v>64</v>
      </c>
      <c r="C74" s="11">
        <v>64</v>
      </c>
      <c r="D74">
        <v>291</v>
      </c>
      <c r="E74">
        <v>-1</v>
      </c>
      <c r="F74" s="11">
        <v>0</v>
      </c>
      <c r="G74" s="11">
        <v>3.0738E-8</v>
      </c>
      <c r="H74" s="11">
        <v>0</v>
      </c>
    </row>
    <row r="75" spans="2:8" x14ac:dyDescent="0.25">
      <c r="B75">
        <v>65</v>
      </c>
      <c r="C75" s="11">
        <v>65</v>
      </c>
      <c r="D75">
        <v>289</v>
      </c>
      <c r="E75">
        <v>-1</v>
      </c>
      <c r="F75" s="11">
        <v>0</v>
      </c>
      <c r="G75" s="11">
        <v>3.0984000000000001E-8</v>
      </c>
      <c r="H75" s="11">
        <v>0</v>
      </c>
    </row>
    <row r="76" spans="2:8" x14ac:dyDescent="0.25">
      <c r="B76">
        <v>66</v>
      </c>
      <c r="C76" s="11">
        <v>66</v>
      </c>
      <c r="D76">
        <v>287</v>
      </c>
      <c r="E76">
        <v>-1</v>
      </c>
      <c r="F76" s="11">
        <v>0</v>
      </c>
      <c r="G76" s="11">
        <v>3.0901E-8</v>
      </c>
      <c r="H76" s="11">
        <v>0</v>
      </c>
    </row>
    <row r="77" spans="2:8" x14ac:dyDescent="0.25">
      <c r="B77">
        <v>67</v>
      </c>
      <c r="C77" s="11">
        <v>67</v>
      </c>
      <c r="D77">
        <v>285</v>
      </c>
      <c r="E77">
        <v>-1</v>
      </c>
      <c r="F77" s="11">
        <v>0</v>
      </c>
      <c r="G77" s="11">
        <v>3.0278000000000002E-8</v>
      </c>
      <c r="H77" s="11">
        <v>0</v>
      </c>
    </row>
    <row r="78" spans="2:8" x14ac:dyDescent="0.25">
      <c r="B78">
        <v>68</v>
      </c>
      <c r="C78" s="11">
        <v>68</v>
      </c>
      <c r="D78">
        <v>283</v>
      </c>
      <c r="E78">
        <v>-1</v>
      </c>
      <c r="F78" s="11">
        <v>0</v>
      </c>
      <c r="G78" s="11">
        <v>3.0423000000000001E-8</v>
      </c>
      <c r="H78" s="11">
        <v>0</v>
      </c>
    </row>
    <row r="79" spans="2:8" x14ac:dyDescent="0.25">
      <c r="B79">
        <v>69</v>
      </c>
      <c r="C79" s="11">
        <v>69</v>
      </c>
      <c r="D79">
        <v>281</v>
      </c>
      <c r="E79">
        <v>-1</v>
      </c>
      <c r="F79" s="11">
        <v>0</v>
      </c>
      <c r="G79" s="11">
        <v>3.0640000000000002E-8</v>
      </c>
      <c r="H79" s="11">
        <v>0</v>
      </c>
    </row>
    <row r="80" spans="2:8" x14ac:dyDescent="0.25">
      <c r="B80">
        <v>70</v>
      </c>
      <c r="C80" s="11">
        <v>70</v>
      </c>
      <c r="D80">
        <v>279</v>
      </c>
      <c r="E80">
        <v>-1</v>
      </c>
      <c r="F80" s="11">
        <v>0</v>
      </c>
      <c r="G80" s="11">
        <v>3.0032000000000001E-8</v>
      </c>
      <c r="H80" s="11">
        <v>0</v>
      </c>
    </row>
    <row r="81" spans="2:8" x14ac:dyDescent="0.25">
      <c r="B81">
        <v>71</v>
      </c>
      <c r="C81" s="11">
        <v>71</v>
      </c>
      <c r="D81">
        <v>277</v>
      </c>
      <c r="E81">
        <v>-1</v>
      </c>
      <c r="F81" s="11">
        <v>0</v>
      </c>
      <c r="G81" s="11">
        <v>2.9916000000000001E-8</v>
      </c>
      <c r="H81" s="11">
        <v>0</v>
      </c>
    </row>
    <row r="82" spans="2:8" x14ac:dyDescent="0.25">
      <c r="B82">
        <v>73</v>
      </c>
      <c r="C82" s="11">
        <v>73</v>
      </c>
      <c r="D82">
        <v>273</v>
      </c>
      <c r="E82">
        <v>-1</v>
      </c>
      <c r="F82" s="11">
        <v>0</v>
      </c>
      <c r="G82" s="11">
        <v>2.9853999999999997E-8</v>
      </c>
      <c r="H82" s="11">
        <v>0</v>
      </c>
    </row>
    <row r="83" spans="2:8" x14ac:dyDescent="0.25">
      <c r="B83">
        <v>75</v>
      </c>
      <c r="C83" s="11">
        <v>75</v>
      </c>
      <c r="D83">
        <v>269</v>
      </c>
      <c r="E83">
        <v>-1</v>
      </c>
      <c r="F83" s="11">
        <v>0</v>
      </c>
      <c r="G83" s="11">
        <v>2.9932E-8</v>
      </c>
      <c r="H83" s="11">
        <v>0</v>
      </c>
    </row>
    <row r="84" spans="2:8" x14ac:dyDescent="0.25">
      <c r="B84">
        <v>77</v>
      </c>
      <c r="C84" s="11">
        <v>77</v>
      </c>
      <c r="D84">
        <v>265</v>
      </c>
      <c r="E84">
        <v>-1</v>
      </c>
      <c r="F84" s="11">
        <v>0</v>
      </c>
      <c r="G84" s="11">
        <v>2.9580999999999999E-8</v>
      </c>
      <c r="H84" s="11">
        <v>0</v>
      </c>
    </row>
    <row r="85" spans="2:8" x14ac:dyDescent="0.25">
      <c r="B85">
        <v>79</v>
      </c>
      <c r="C85" s="11">
        <v>79</v>
      </c>
      <c r="D85">
        <v>261</v>
      </c>
      <c r="E85">
        <v>-1</v>
      </c>
      <c r="F85" s="11">
        <v>0</v>
      </c>
      <c r="G85" s="11">
        <v>2.9947999999999998E-8</v>
      </c>
      <c r="H85" s="11">
        <v>0</v>
      </c>
    </row>
    <row r="86" spans="2:8" x14ac:dyDescent="0.25">
      <c r="B86">
        <v>81</v>
      </c>
      <c r="C86" s="11">
        <v>81</v>
      </c>
      <c r="D86">
        <v>257</v>
      </c>
      <c r="E86">
        <v>-1</v>
      </c>
      <c r="F86" s="11">
        <v>0</v>
      </c>
      <c r="G86" s="11">
        <v>2.8994999999999999E-8</v>
      </c>
      <c r="H86" s="11">
        <v>0</v>
      </c>
    </row>
    <row r="87" spans="2:8" x14ac:dyDescent="0.25">
      <c r="B87">
        <v>83</v>
      </c>
      <c r="C87" s="11">
        <v>83</v>
      </c>
      <c r="D87">
        <v>253</v>
      </c>
      <c r="E87">
        <v>-1</v>
      </c>
      <c r="F87" s="11">
        <v>0</v>
      </c>
      <c r="G87" s="11">
        <v>2.8535E-8</v>
      </c>
      <c r="H87" s="11">
        <v>0</v>
      </c>
    </row>
    <row r="88" spans="2:8" x14ac:dyDescent="0.25">
      <c r="B88">
        <v>85</v>
      </c>
      <c r="C88" s="11">
        <v>85</v>
      </c>
      <c r="D88">
        <v>249</v>
      </c>
      <c r="E88">
        <v>-1</v>
      </c>
      <c r="F88" s="11">
        <v>0</v>
      </c>
      <c r="G88" s="11">
        <v>2.8368E-8</v>
      </c>
      <c r="H88" s="11">
        <v>0</v>
      </c>
    </row>
    <row r="89" spans="2:8" x14ac:dyDescent="0.25">
      <c r="B89">
        <v>87</v>
      </c>
      <c r="C89" s="11">
        <v>87</v>
      </c>
      <c r="D89">
        <v>245</v>
      </c>
      <c r="E89">
        <v>-1</v>
      </c>
      <c r="F89" s="11">
        <v>0</v>
      </c>
      <c r="G89" s="11">
        <v>2.8031999999999999E-8</v>
      </c>
      <c r="H89" s="11">
        <v>0</v>
      </c>
    </row>
    <row r="90" spans="2:8" x14ac:dyDescent="0.25">
      <c r="B90">
        <v>89</v>
      </c>
      <c r="C90" s="11">
        <v>89</v>
      </c>
      <c r="D90">
        <v>241</v>
      </c>
      <c r="E90">
        <v>-1</v>
      </c>
      <c r="F90" s="11">
        <v>0</v>
      </c>
      <c r="G90" s="11">
        <v>2.8457999999999999E-8</v>
      </c>
      <c r="H90" s="11">
        <v>0</v>
      </c>
    </row>
    <row r="91" spans="2:8" x14ac:dyDescent="0.25">
      <c r="B91">
        <v>91</v>
      </c>
      <c r="C91" s="11">
        <v>91</v>
      </c>
      <c r="D91">
        <v>237</v>
      </c>
      <c r="E91">
        <v>-1</v>
      </c>
      <c r="F91" s="11">
        <v>0</v>
      </c>
      <c r="G91" s="11">
        <v>2.8343999999999999E-8</v>
      </c>
      <c r="H91" s="11">
        <v>0</v>
      </c>
    </row>
    <row r="92" spans="2:8" x14ac:dyDescent="0.25">
      <c r="B92">
        <v>93</v>
      </c>
      <c r="C92" s="11">
        <v>93</v>
      </c>
      <c r="D92">
        <v>233</v>
      </c>
      <c r="E92">
        <v>-1</v>
      </c>
      <c r="F92" s="11">
        <v>0</v>
      </c>
      <c r="G92" s="11">
        <v>2.8349000000000001E-8</v>
      </c>
      <c r="H92" s="11">
        <v>0</v>
      </c>
    </row>
    <row r="93" spans="2:8" x14ac:dyDescent="0.25">
      <c r="B93">
        <v>95</v>
      </c>
      <c r="C93" s="11">
        <v>95</v>
      </c>
      <c r="D93">
        <v>229</v>
      </c>
      <c r="E93">
        <v>-1</v>
      </c>
      <c r="F93" s="11">
        <v>0</v>
      </c>
      <c r="G93" s="11">
        <v>2.8626999999999999E-8</v>
      </c>
      <c r="H93" s="11">
        <v>0</v>
      </c>
    </row>
    <row r="94" spans="2:8" x14ac:dyDescent="0.25">
      <c r="B94">
        <v>97</v>
      </c>
      <c r="C94" s="11">
        <v>97</v>
      </c>
      <c r="D94">
        <v>225</v>
      </c>
      <c r="E94">
        <v>-1</v>
      </c>
      <c r="F94" s="11">
        <v>0</v>
      </c>
      <c r="G94" s="11">
        <v>2.8587E-8</v>
      </c>
      <c r="H94" s="11">
        <v>0</v>
      </c>
    </row>
    <row r="95" spans="2:8" x14ac:dyDescent="0.25">
      <c r="B95">
        <v>99</v>
      </c>
      <c r="C95" s="11">
        <v>99</v>
      </c>
      <c r="D95">
        <v>221</v>
      </c>
      <c r="E95">
        <v>-1</v>
      </c>
      <c r="F95" s="11">
        <v>0</v>
      </c>
      <c r="G95" s="11">
        <v>2.9023999999999999E-8</v>
      </c>
      <c r="H95" s="11">
        <v>0</v>
      </c>
    </row>
    <row r="96" spans="2:8" x14ac:dyDescent="0.25">
      <c r="B96">
        <v>101</v>
      </c>
      <c r="C96" s="11">
        <v>101</v>
      </c>
      <c r="D96">
        <v>217</v>
      </c>
      <c r="E96">
        <v>-1</v>
      </c>
      <c r="F96" s="11">
        <v>0</v>
      </c>
      <c r="G96" s="11">
        <v>2.9055000000000001E-8</v>
      </c>
      <c r="H96" s="11">
        <v>0</v>
      </c>
    </row>
    <row r="97" spans="2:8" x14ac:dyDescent="0.25">
      <c r="B97">
        <v>103</v>
      </c>
      <c r="C97" s="11">
        <v>103</v>
      </c>
      <c r="D97">
        <v>213</v>
      </c>
      <c r="E97">
        <v>-1</v>
      </c>
      <c r="F97" s="11">
        <v>0</v>
      </c>
      <c r="G97" s="11">
        <v>2.9350999999999999E-8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-2.9985669999999999E-2</v>
      </c>
    </row>
    <row r="4" spans="2:12" x14ac:dyDescent="0.25">
      <c r="B4" t="s">
        <v>29</v>
      </c>
      <c r="C4" t="s">
        <v>28</v>
      </c>
      <c r="D4" s="11">
        <v>-2.9988330000000001E-2</v>
      </c>
    </row>
    <row r="5" spans="2:12" x14ac:dyDescent="0.25">
      <c r="B5" t="s">
        <v>30</v>
      </c>
      <c r="C5" t="s">
        <v>28</v>
      </c>
      <c r="D5" s="11">
        <v>-2.998665E-2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5.9694999999999996E-7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3.3995000000000002E-7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1.6609E-7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1.8043999999999999E-7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1.7636E-7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1.2972E-7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1.0647E-7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1.1263E-7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9.7977000000000004E-8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7.7421000000000002E-8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8.3232E-8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8.2072999999999996E-8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6.9803999999999994E-8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6.9545000000000005E-8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7.1553000000000006E-8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6.3454999999999995E-8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6.0041000000000001E-8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6.2756999999999997E-8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5.9243999999999998E-8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5.6361999999999999E-8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5.7557999999999998E-8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5.5978E-8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5.3022000000000003E-8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5.1807000000000002E-8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5.1802999999999997E-8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4.9608999999999998E-8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4.7926000000000002E-8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4.9145000000000001E-8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4.7092999999999997E-8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4.5678E-8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4.6979E-8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4.5756000000000003E-8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4.4730999999999999E-8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4.5266000000000003E-8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4.5113000000000002E-8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4.3944E-8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4.3509999999999997E-8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4.3538999999999997E-8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4.2729999999999999E-8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4.2395999999999998E-8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1</v>
      </c>
      <c r="F51" s="11">
        <v>0</v>
      </c>
      <c r="G51" s="11">
        <v>4.3217000000000002E-8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4.2594999999999999E-8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4.2108999999999997E-8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4.2939999999999999E-8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4.2651999999999997E-8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4.2340000000000001E-8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1</v>
      </c>
      <c r="F57" s="11">
        <v>0</v>
      </c>
      <c r="G57" s="11">
        <v>4.2657999999999997E-8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1</v>
      </c>
      <c r="F58" s="11">
        <v>0</v>
      </c>
      <c r="G58" s="11">
        <v>4.2839999999999998E-8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4.2625E-8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4.2337999999999998E-8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4.2588999999999998E-8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4.1974999999999997E-8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4.1601000000000003E-8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4.2068999999999998E-8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4.1689999999999998E-8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4.1465000000000001E-8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4.1491999999999999E-8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4.1233000000000003E-8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4.0929000000000002E-8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4.0581999999999999E-8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4.0574000000000003E-8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4.0177999999999998E-8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3.9757000000000003E-8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3.9737E-8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3.9142000000000001E-8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3.8716000000000001E-8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3.8282999999999999E-8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3.7725000000000002E-8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3.7342999999999999E-8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3.6657000000000002E-8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3.6185999999999997E-8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3.5034000000000001E-8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3.4061000000000003E-8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3.3171E-8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3.1772000000000002E-8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3.0601999999999998E-8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3.0030999999999999E-8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2.9507999999999999E-8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2.9175999999999999E-8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2.8597000000000001E-8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2.8139999999999999E-8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2.7695000000000001E-8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2.6941E-8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2.625E-8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2.5510999999999999E-8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2.4739999999999999E-8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2.4319000000000001E-8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-2.9985709999999999E-2</v>
      </c>
    </row>
    <row r="4" spans="2:12" x14ac:dyDescent="0.25">
      <c r="B4" t="s">
        <v>29</v>
      </c>
      <c r="C4" t="s">
        <v>28</v>
      </c>
      <c r="D4" s="11">
        <v>-2.9988230000000001E-2</v>
      </c>
    </row>
    <row r="5" spans="2:12" x14ac:dyDescent="0.25">
      <c r="B5" t="s">
        <v>30</v>
      </c>
      <c r="C5" t="s">
        <v>28</v>
      </c>
      <c r="D5" s="11">
        <v>-2.998669E-2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5.9699E-7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3.5488000000000001E-7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1.8766E-7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1.8090000000000001E-7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1.7522999999999999E-7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1.2464999999999999E-7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8.8364999999999997E-8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1.0125999999999999E-7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8.8418000000000005E-8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6.5550000000000001E-8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7.6306999999999996E-8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7.4947000000000003E-8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6.1704999999999996E-8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6.2789999999999995E-8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6.7352999999999994E-8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5.9861999999999997E-8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5.7479000000000001E-8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6.1314000000000002E-8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5.7562999999999997E-8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5.2502000000000003E-8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5.3124E-8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5.2509999999999998E-8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4.7471000000000002E-8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4.6246000000000003E-8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4.7314000000000003E-8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4.3244E-8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4.1881000000000003E-8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4.2474E-8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4.0387000000000003E-8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3.8216999999999997E-8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3.7955999999999999E-8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3.7957E-8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3.5638999999999999E-8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3.5310999999999998E-8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3.5624000000000002E-8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3.3810000000000003E-8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3.3767000000000001E-8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3.4393999999999997E-8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3.3928999999999999E-8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3.3574E-8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3.4115999999999999E-8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3.4154000000000003E-8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3.3269999999999999E-8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3.3826000000000001E-8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3.4512999999999999E-8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3.4090999999999997E-8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3.4516000000000003E-8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3.498E-8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3.4907999999999997E-8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3.4920999999999999E-8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3.5589000000000002E-8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3.5968000000000002E-8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3.5821E-8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3.6348000000000002E-8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3.6883E-8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3.6512999999999997E-8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3.7008999999999997E-8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3.7720000000000003E-8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3.7815999999999999E-8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3.8203000000000001E-8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3.8803E-8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3.8994999999999999E-8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3.8852999999999997E-8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3.9328E-8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3.9605999999999997E-8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3.9383999999999997E-8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3.9786999999999998E-8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4.0125999999999998E-8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4.0193000000000001E-8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4.0409000000000001E-8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4.0760999999999997E-8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4.1064999999999997E-8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4.1840999999999997E-8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4.2086999999999998E-8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4.2463000000000001E-8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4.2889000000000001E-8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4.3229000000000003E-8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4.3492000000000003E-8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4.3811000000000001E-8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4.4133999999999997E-8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4.4195E-8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4.4482000000000001E-8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4.4489000000000002E-8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4.4355999999999997E-8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4.4335E-8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4.3918000000000003E-8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4.3614999999999997E-8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-2.9985729999999999E-2</v>
      </c>
    </row>
    <row r="4" spans="2:12" x14ac:dyDescent="0.25">
      <c r="B4" t="s">
        <v>29</v>
      </c>
      <c r="C4" t="s">
        <v>28</v>
      </c>
      <c r="D4" s="11">
        <v>-2.9988270000000001E-2</v>
      </c>
    </row>
    <row r="5" spans="2:12" x14ac:dyDescent="0.25">
      <c r="B5" t="s">
        <v>30</v>
      </c>
      <c r="C5" t="s">
        <v>28</v>
      </c>
      <c r="D5" s="11">
        <v>-2.9986700000000002E-2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6.1829999999999997E-7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3.5185000000000002E-7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1.7436000000000001E-7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1.8895999999999999E-7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1.8085000000000001E-7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1.3619999999999999E-7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1.1049000000000001E-7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1.1983999999999999E-7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1.0714000000000001E-7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8.7009999999999996E-8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9.4082999999999996E-8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9.3215000000000005E-8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8.1304999999999999E-8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8.3828000000000001E-8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8.6260000000000006E-8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7.9754000000000001E-8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7.8446E-8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7.9642000000000006E-8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7.6510000000000002E-8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7.3133999999999998E-8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7.2685000000000005E-8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7.0821999999999997E-8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6.6651999999999994E-8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6.5704000000000004E-8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6.4807999999999994E-8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6.1644000000000006E-8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6.0700999999999995E-8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6.0271999999999999E-8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5.8122999999999997E-8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1</v>
      </c>
      <c r="F40" s="11">
        <v>0</v>
      </c>
      <c r="G40" s="11">
        <v>5.6523000000000003E-8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5.6126000000000002E-8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5.4873999999999999E-8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5.3610000000000002E-8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5.3405000000000001E-8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5.2520000000000003E-8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5.1368E-8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5.1120999999999998E-8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5.0734000000000003E-8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4.9643000000000003E-8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1</v>
      </c>
      <c r="F50" s="11">
        <v>0</v>
      </c>
      <c r="G50" s="11">
        <v>4.9153999999999998E-8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4.8871000000000001E-8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4.8032000000000003E-8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4.7400000000000001E-8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4.7156000000000002E-8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4.6777999999999997E-8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4.6153999999999998E-8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4.6199000000000002E-8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1</v>
      </c>
      <c r="F58" s="11">
        <v>0</v>
      </c>
      <c r="G58" s="11">
        <v>4.6205999999999997E-8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4.5675999999999998E-8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4.5550000000000001E-8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4.5342000000000003E-8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4.5005999999999999E-8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4.4618000000000003E-8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4.4447000000000001E-8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4.4290000000000002E-8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4.3618000000000001E-8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4.3449000000000001E-8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4.3118999999999997E-8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4.2516000000000002E-8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4.231E-8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4.2078000000000001E-8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4.1683999999999998E-8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4.1185000000000001E-8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4.0887000000000001E-8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4.0577E-8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4.0075E-8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3.9825000000000001E-8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3.9680000000000002E-8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3.9184000000000002E-8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3.8922000000000003E-8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3.8805000000000002E-8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3.7795000000000002E-8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3.7135000000000001E-8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3.6220999999999997E-8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3.5196E-8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3.4434000000000002E-8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3.3396999999999998E-8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3.2882000000000003E-8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3.2127E-8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3.1674000000000003E-8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3.1668999999999997E-8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3.1296999999999999E-8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3.1407999999999999E-8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3.1044000000000003E-8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3.0740999999999997E-8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3.0600999999999997E-8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3.0335E-8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-2.998582E-2</v>
      </c>
    </row>
    <row r="4" spans="2:12" x14ac:dyDescent="0.25">
      <c r="B4" t="s">
        <v>29</v>
      </c>
      <c r="C4" t="s">
        <v>28</v>
      </c>
      <c r="D4" s="11">
        <v>-2.9988230000000001E-2</v>
      </c>
    </row>
    <row r="5" spans="2:12" x14ac:dyDescent="0.25">
      <c r="B5" t="s">
        <v>30</v>
      </c>
      <c r="C5" t="s">
        <v>28</v>
      </c>
      <c r="D5" s="11">
        <v>-2.998675E-2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6.0383999999999999E-7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3.5096000000000001E-7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1.7182000000000001E-7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1.8176999999999999E-7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1.7382E-7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1.3346999999999999E-7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1.1828E-7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1.1668E-7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1.0461E-7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9.2484999999999997E-8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9.0565000000000004E-8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8.6168999999999996E-8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7.9950999999999999E-8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7.7985000000000006E-8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7.6218000000000001E-8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7.4566999999999995E-8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7.2923999999999998E-8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7.1440999999999998E-8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7.1262999999999994E-8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6.9951000000000002E-8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6.8180999999999994E-8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6.9261000000000001E-8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6.8561000000000001E-8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6.6955999999999994E-8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6.6313000000000006E-8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6.6254999999999993E-8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6.4643000000000005E-8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6.3761999999999999E-8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6.3291999999999995E-8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6.2076000000000006E-8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6.0359000000000005E-8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5.8852999999999998E-8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5.7653E-8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5.5991000000000002E-8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5.3988E-8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5.3300000000000001E-8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5.1783000000000001E-8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5.0413999999999997E-8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4.9619999999999997E-8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4.8741E-8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4.7110000000000003E-8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4.5398000000000001E-8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4.3791999999999999E-8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4.1993999999999999E-8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4.1109000000000001E-8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4.0705E-8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4.0129000000000002E-8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3.9669999999999997E-8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3.9440000000000001E-8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3.9296000000000003E-8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3.8676000000000002E-8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3.8243E-8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3.8233000000000002E-8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3.7930999999999997E-8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3.735E-8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3.7123000000000001E-8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3.6675999999999997E-8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3.6080999999999997E-8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3.6067000000000001E-8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3.5818999999999998E-8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3.5526000000000003E-8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3.5490000000000002E-8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3.5386999999999998E-8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3.5227000000000002E-8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3.5081000000000002E-8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3.5412E-8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3.5526000000000003E-8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3.5444999999999997E-8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3.6174999999999998E-8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3.6691000000000001E-8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3.7019000000000002E-8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3.8074000000000001E-8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3.8681000000000001E-8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3.9098999999999998E-8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3.9211E-8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3.9722000000000003E-8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4.0206000000000003E-8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4.1188999999999999E-8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4.1733000000000001E-8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4.2126999999999997E-8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4.2307000000000003E-8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4.2340000000000001E-8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4.2644000000000001E-8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4.2736E-8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4.2698000000000003E-8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4.2844000000000003E-8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4.3008999999999998E-8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-2.9985830000000002E-2</v>
      </c>
    </row>
    <row r="4" spans="2:12" x14ac:dyDescent="0.25">
      <c r="B4" t="s">
        <v>29</v>
      </c>
      <c r="C4" t="s">
        <v>28</v>
      </c>
      <c r="D4" s="11">
        <v>-2.9988319999999999E-2</v>
      </c>
    </row>
    <row r="5" spans="2:12" x14ac:dyDescent="0.25">
      <c r="B5" t="s">
        <v>30</v>
      </c>
      <c r="C5" t="s">
        <v>28</v>
      </c>
      <c r="D5" s="11">
        <v>-2.9986769999999999E-2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5.8291999999999998E-7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3.3901999999999997E-7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1.6717000000000001E-7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1.7744000000000001E-7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1.7578999999999999E-7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1.3364E-7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1.1329E-7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1.2132999999999999E-7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1</v>
      </c>
      <c r="F19" s="11">
        <v>0</v>
      </c>
      <c r="G19" s="11">
        <v>1.071E-7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8.9442000000000001E-8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9.1640000000000005E-8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8.5000999999999995E-8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7.3347000000000002E-8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7.1611000000000005E-8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7.1090999999999998E-8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6.6444999999999997E-8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6.2891000000000004E-8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6.3526999999999997E-8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6.2422000000000001E-8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5.9164E-8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5.9648000000000006E-8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6.0134000000000001E-8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5.8203000000000002E-8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5.8309999999999997E-8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5.8677999999999998E-8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5.6346E-8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5.3980999999999999E-8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5.2921000000000001E-8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5.1452999999999998E-8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4.8687999999999999E-8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4.6851E-8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4.6234999999999997E-8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4.3433000000000003E-8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4.2049000000000002E-8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4.2278000000000003E-8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4.1106999999999999E-8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3.9785000000000002E-8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3.9382000000000002E-8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3.9412999999999997E-8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3.8151000000000002E-8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3.7838999999999999E-8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3.8070000000000003E-8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3.6506999999999997E-8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3.5682000000000001E-8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3.5465E-8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3.4855999999999998E-8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3.3697000000000001E-8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3.3175999999999999E-8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3.3185999999999997E-8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3.2071000000000003E-8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3.2013999999999998E-8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3.2391000000000002E-8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3.2076000000000002E-8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3.1865000000000001E-8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3.2117000000000002E-8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3.2376999999999999E-8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3.1740999999999999E-8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3.1889000000000002E-8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3.1713000000000001E-8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3.1084999999999997E-8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3.1281000000000001E-8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3.1161999999999998E-8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3.1131000000000003E-8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3.0839999999999997E-8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3.0939000000000003E-8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3.0880999999999997E-8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3.0315999999999998E-8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3.0721000000000001E-8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3.0609E-8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3.0617000000000002E-8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3.0961000000000002E-8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3.1289000000000003E-8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3.1404000000000001E-8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3.1219000000000003E-8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3.1619E-8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3.1296999999999999E-8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3.1613E-8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3.1820000000000003E-8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3.2281999999999998E-8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3.292E-8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3.2952000000000003E-8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3.3040999999999998E-8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3.3062000000000002E-8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3.3109000000000002E-8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3.3239999999999999E-8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3.3296000000000002E-8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3.3646000000000002E-8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88"/>
  <sheetViews>
    <sheetView zoomScaleNormal="100" workbookViewId="0"/>
  </sheetViews>
  <sheetFormatPr defaultRowHeight="15" x14ac:dyDescent="0.25"/>
  <cols>
    <col min="1" max="1" width="14.85546875" style="5" customWidth="1"/>
    <col min="2" max="10" width="8.42578125" style="5" bestFit="1" customWidth="1"/>
    <col min="11" max="11" width="9.42578125" style="5" bestFit="1" customWidth="1"/>
    <col min="12" max="14" width="9.140625" style="5"/>
    <col min="15" max="15" width="20.85546875" style="5" bestFit="1" customWidth="1"/>
    <col min="16" max="16" width="17.140625" style="5" customWidth="1"/>
    <col min="17" max="17" width="9.140625" style="5"/>
    <col min="18" max="18" width="11.85546875" style="5" customWidth="1"/>
    <col min="19" max="19" width="8.28515625" style="5" bestFit="1" customWidth="1"/>
    <col min="20" max="16384" width="9.140625" style="5"/>
  </cols>
  <sheetData>
    <row r="1" spans="1:2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51</v>
      </c>
      <c r="Q1" s="4">
        <f>0.000000001*12^(-0.5)</f>
        <v>2.8867513459481294E-10</v>
      </c>
      <c r="R1" s="1" t="s">
        <v>52</v>
      </c>
      <c r="S1" s="6">
        <v>1.0000000000000001E-9</v>
      </c>
      <c r="T1" s="6"/>
      <c r="U1" s="6"/>
    </row>
    <row r="2" spans="1:21" x14ac:dyDescent="0.25">
      <c r="A2" s="5">
        <v>1</v>
      </c>
      <c r="B2" s="6">
        <f>'Plan11 (2)'!$G11</f>
        <v>6.0902999999999999E-8</v>
      </c>
      <c r="C2" s="6">
        <f>'Plan12 (2)'!$G11</f>
        <v>6.4707999999999999E-8</v>
      </c>
      <c r="D2" s="6">
        <f>'Plan13 (2)'!$G11</f>
        <v>6.7923000000000005E-8</v>
      </c>
      <c r="E2" s="6">
        <f>'Plan14 (2)'!$G11</f>
        <v>6.4501000000000003E-8</v>
      </c>
      <c r="F2" s="6">
        <f>'Plan15 (2)'!$G11</f>
        <v>6.5133000000000005E-8</v>
      </c>
      <c r="G2" s="6">
        <f>'Plan16 (2)'!$G11</f>
        <v>5.8729000000000003E-8</v>
      </c>
      <c r="H2" s="6">
        <f>'Plan17 (2)'!$G11</f>
        <v>6.0543000000000002E-8</v>
      </c>
      <c r="I2" s="6">
        <f>'Plan18 (2)'!$G11</f>
        <v>6.1169999999999998E-8</v>
      </c>
      <c r="J2" s="6">
        <f>'Plan19 (2)'!$G11</f>
        <v>6.0596999999999997E-8</v>
      </c>
      <c r="K2" s="6">
        <f>'Plan20 (2)'!$G11</f>
        <v>6.2845000000000005E-8</v>
      </c>
      <c r="L2" s="7">
        <f>AVERAGE(B2:K2)</f>
        <v>6.2705200000000002E-8</v>
      </c>
      <c r="M2" s="6">
        <f t="shared" ref="M2:M65" si="0">L2-O2</f>
        <v>6.0697241238247437E-8</v>
      </c>
      <c r="N2" s="6">
        <f t="shared" ref="N2:N65" si="1">L2+O2</f>
        <v>6.4713158761752568E-8</v>
      </c>
      <c r="O2" s="6">
        <f>_xlfn.CONFIDENCE.T(0.05,_xlfn.STDEV.S(B2:K2),COUNTA(B2:K2))</f>
        <v>2.0079587617525666E-9</v>
      </c>
    </row>
    <row r="3" spans="1:21" x14ac:dyDescent="0.25">
      <c r="A3" s="5">
        <v>2</v>
      </c>
      <c r="B3" s="6">
        <f>'Plan11 (2)'!$G12</f>
        <v>3.1096000000000003E-8</v>
      </c>
      <c r="C3" s="6">
        <f>'Plan12 (2)'!$G12</f>
        <v>2.7972999999999998E-8</v>
      </c>
      <c r="D3" s="6">
        <f>'Plan13 (2)'!$G12</f>
        <v>3.1598000000000003E-8</v>
      </c>
      <c r="E3" s="6">
        <f>'Plan14 (2)'!$G12</f>
        <v>2.6583999999999998E-8</v>
      </c>
      <c r="F3" s="6">
        <f>'Plan15 (2)'!$G12</f>
        <v>2.7625999999999999E-8</v>
      </c>
      <c r="G3" s="6">
        <f>'Plan16 (2)'!$G12</f>
        <v>2.8841E-8</v>
      </c>
      <c r="H3" s="6">
        <f>'Plan17 (2)'!$G12</f>
        <v>2.8039E-8</v>
      </c>
      <c r="I3" s="6">
        <f>'Plan18 (2)'!$G12</f>
        <v>2.7196000000000001E-8</v>
      </c>
      <c r="J3" s="6">
        <f>'Plan19 (2)'!$G12</f>
        <v>2.7555000000000001E-8</v>
      </c>
      <c r="K3" s="6">
        <f>'Plan20 (2)'!$G12</f>
        <v>2.5024E-8</v>
      </c>
      <c r="L3" s="7">
        <f t="shared" ref="L3:L66" si="2">AVERAGE(B3:K3)</f>
        <v>2.8153200000000002E-8</v>
      </c>
      <c r="M3" s="6">
        <f t="shared" si="0"/>
        <v>2.6745491072329116E-8</v>
      </c>
      <c r="N3" s="6">
        <f t="shared" si="1"/>
        <v>2.9560908927670887E-8</v>
      </c>
      <c r="O3" s="6">
        <f t="shared" ref="O3:O66" si="3">_xlfn.CONFIDENCE.T(0.05,_xlfn.STDEV.S(B3:K3),COUNTA(B3:K3))</f>
        <v>1.4077089276708839E-9</v>
      </c>
    </row>
    <row r="4" spans="1:21" x14ac:dyDescent="0.25">
      <c r="A4" s="5">
        <v>3</v>
      </c>
      <c r="B4" s="6">
        <f>'Plan11 (2)'!$G13</f>
        <v>1.8173E-8</v>
      </c>
      <c r="C4" s="6">
        <f>'Plan12 (2)'!$G13</f>
        <v>1.7234999999999998E-8</v>
      </c>
      <c r="D4" s="6">
        <f>'Plan13 (2)'!$G13</f>
        <v>2.0841000000000001E-8</v>
      </c>
      <c r="E4" s="6">
        <f>'Plan14 (2)'!$G13</f>
        <v>2.0964000000000002E-8</v>
      </c>
      <c r="F4" s="6">
        <f>'Plan15 (2)'!$G13</f>
        <v>2.4232999999999999E-8</v>
      </c>
      <c r="G4" s="6">
        <f>'Plan16 (2)'!$G13</f>
        <v>1.7487E-8</v>
      </c>
      <c r="H4" s="6">
        <f>'Plan17 (2)'!$G13</f>
        <v>1.9119000000000001E-8</v>
      </c>
      <c r="I4" s="6">
        <f>'Plan18 (2)'!$G13</f>
        <v>1.8089999999999999E-8</v>
      </c>
      <c r="J4" s="6">
        <f>'Plan19 (2)'!$G13</f>
        <v>2.0727999999999999E-8</v>
      </c>
      <c r="K4" s="6">
        <f>'Plan20 (2)'!$G13</f>
        <v>2.1692E-8</v>
      </c>
      <c r="L4" s="7">
        <f t="shared" si="2"/>
        <v>1.98562E-8</v>
      </c>
      <c r="M4" s="6">
        <f t="shared" si="0"/>
        <v>1.8266176992001451E-8</v>
      </c>
      <c r="N4" s="6">
        <f t="shared" si="1"/>
        <v>2.1446223007998549E-8</v>
      </c>
      <c r="O4" s="6">
        <f t="shared" si="3"/>
        <v>1.5900230079985503E-9</v>
      </c>
    </row>
    <row r="5" spans="1:21" x14ac:dyDescent="0.25">
      <c r="A5" s="5">
        <v>4</v>
      </c>
      <c r="B5" s="6">
        <f>'Plan11 (2)'!$G14</f>
        <v>2.2066999999999998E-8</v>
      </c>
      <c r="C5" s="6">
        <f>'Plan12 (2)'!$G14</f>
        <v>2.1314999999999999E-8</v>
      </c>
      <c r="D5" s="6">
        <f>'Plan13 (2)'!$G14</f>
        <v>2.4512000000000001E-8</v>
      </c>
      <c r="E5" s="6">
        <f>'Plan14 (2)'!$G14</f>
        <v>2.0085999999999999E-8</v>
      </c>
      <c r="F5" s="6">
        <f>'Plan15 (2)'!$G14</f>
        <v>2.2026000000000001E-8</v>
      </c>
      <c r="G5" s="6">
        <f>'Plan16 (2)'!$G14</f>
        <v>2.1024E-8</v>
      </c>
      <c r="H5" s="6">
        <f>'Plan17 (2)'!$G14</f>
        <v>2.1468000000000001E-8</v>
      </c>
      <c r="I5" s="6">
        <f>'Plan18 (2)'!$G14</f>
        <v>2.0581999999999999E-8</v>
      </c>
      <c r="J5" s="6">
        <f>'Plan19 (2)'!$G14</f>
        <v>2.1194999999999999E-8</v>
      </c>
      <c r="K5" s="6">
        <f>'Plan20 (2)'!$G14</f>
        <v>1.8051000000000001E-8</v>
      </c>
      <c r="L5" s="7">
        <f t="shared" si="2"/>
        <v>2.12326E-8</v>
      </c>
      <c r="M5" s="6">
        <f t="shared" si="0"/>
        <v>2.0063263063381735E-8</v>
      </c>
      <c r="N5" s="6">
        <f t="shared" si="1"/>
        <v>2.2401936936618266E-8</v>
      </c>
      <c r="O5" s="6">
        <f t="shared" si="3"/>
        <v>1.1693369366182638E-9</v>
      </c>
    </row>
    <row r="6" spans="1:21" x14ac:dyDescent="0.25">
      <c r="A6" s="5">
        <v>5</v>
      </c>
      <c r="B6" s="6">
        <f>'Plan11 (2)'!$G15</f>
        <v>1.7494999999999999E-8</v>
      </c>
      <c r="C6" s="6">
        <f>'Plan12 (2)'!$G15</f>
        <v>1.4780000000000001E-8</v>
      </c>
      <c r="D6" s="6">
        <f>'Plan13 (2)'!$G15</f>
        <v>1.8463999999999999E-8</v>
      </c>
      <c r="E6" s="6">
        <f>'Plan14 (2)'!$G15</f>
        <v>1.6343E-8</v>
      </c>
      <c r="F6" s="6">
        <f>'Plan15 (2)'!$G15</f>
        <v>1.894E-8</v>
      </c>
      <c r="G6" s="6">
        <f>'Plan16 (2)'!$G15</f>
        <v>1.749E-8</v>
      </c>
      <c r="H6" s="6">
        <f>'Plan17 (2)'!$G15</f>
        <v>1.5446999999999999E-8</v>
      </c>
      <c r="I6" s="6">
        <f>'Plan18 (2)'!$G15</f>
        <v>1.5306999999999999E-8</v>
      </c>
      <c r="J6" s="6">
        <f>'Plan19 (2)'!$G15</f>
        <v>1.5953000000000001E-8</v>
      </c>
      <c r="K6" s="6">
        <f>'Plan20 (2)'!$G15</f>
        <v>1.6457E-8</v>
      </c>
      <c r="L6" s="7">
        <f t="shared" si="2"/>
        <v>1.6667599999999999E-8</v>
      </c>
      <c r="M6" s="6">
        <f t="shared" si="0"/>
        <v>1.5675332140045932E-8</v>
      </c>
      <c r="N6" s="6">
        <f t="shared" si="1"/>
        <v>1.7659867859954066E-8</v>
      </c>
      <c r="O6" s="6">
        <f t="shared" si="3"/>
        <v>9.9226785995406719E-10</v>
      </c>
    </row>
    <row r="7" spans="1:21" x14ac:dyDescent="0.25">
      <c r="A7" s="5">
        <v>6</v>
      </c>
      <c r="B7" s="6">
        <f>'Plan11 (2)'!$G16</f>
        <v>1.3979000000000001E-8</v>
      </c>
      <c r="C7" s="6">
        <f>'Plan12 (2)'!$G16</f>
        <v>1.3939E-8</v>
      </c>
      <c r="D7" s="6">
        <f>'Plan13 (2)'!$G16</f>
        <v>1.705E-8</v>
      </c>
      <c r="E7" s="6">
        <f>'Plan14 (2)'!$G16</f>
        <v>1.7064E-8</v>
      </c>
      <c r="F7" s="6">
        <f>'Plan15 (2)'!$G16</f>
        <v>1.8740000000000001E-8</v>
      </c>
      <c r="G7" s="6">
        <f>'Plan16 (2)'!$G16</f>
        <v>1.6259E-8</v>
      </c>
      <c r="H7" s="6">
        <f>'Plan17 (2)'!$G16</f>
        <v>1.385E-8</v>
      </c>
      <c r="I7" s="6">
        <f>'Plan18 (2)'!$G16</f>
        <v>1.4357000000000001E-8</v>
      </c>
      <c r="J7" s="6">
        <f>'Plan19 (2)'!$G16</f>
        <v>1.5723999999999999E-8</v>
      </c>
      <c r="K7" s="6">
        <f>'Plan20 (2)'!$G16</f>
        <v>1.4996000000000001E-8</v>
      </c>
      <c r="L7" s="7">
        <f t="shared" si="2"/>
        <v>1.5595799999999999E-8</v>
      </c>
      <c r="M7" s="6">
        <f t="shared" si="0"/>
        <v>1.4405595637767558E-8</v>
      </c>
      <c r="N7" s="6">
        <f t="shared" si="1"/>
        <v>1.6786004362232439E-8</v>
      </c>
      <c r="O7" s="6">
        <f t="shared" si="3"/>
        <v>1.1902043622324408E-9</v>
      </c>
    </row>
    <row r="8" spans="1:21" x14ac:dyDescent="0.25">
      <c r="A8" s="5">
        <v>7</v>
      </c>
      <c r="B8" s="6">
        <f>'Plan11 (2)'!$G17</f>
        <v>1.4248E-8</v>
      </c>
      <c r="C8" s="6">
        <f>'Plan12 (2)'!$G17</f>
        <v>1.4264E-8</v>
      </c>
      <c r="D8" s="6">
        <f>'Plan13 (2)'!$G17</f>
        <v>1.6945999999999998E-8</v>
      </c>
      <c r="E8" s="6">
        <f>'Plan14 (2)'!$G17</f>
        <v>1.4317E-8</v>
      </c>
      <c r="F8" s="6">
        <f>'Plan15 (2)'!$G17</f>
        <v>1.5915000000000001E-8</v>
      </c>
      <c r="G8" s="6">
        <f>'Plan16 (2)'!$G17</f>
        <v>1.7487E-8</v>
      </c>
      <c r="H8" s="6">
        <f>'Plan17 (2)'!$G17</f>
        <v>1.3097E-8</v>
      </c>
      <c r="I8" s="6">
        <f>'Plan18 (2)'!$G17</f>
        <v>1.3277E-8</v>
      </c>
      <c r="J8" s="6">
        <f>'Plan19 (2)'!$G17</f>
        <v>1.3815E-8</v>
      </c>
      <c r="K8" s="6">
        <f>'Plan20 (2)'!$G17</f>
        <v>1.2681E-8</v>
      </c>
      <c r="L8" s="7">
        <f t="shared" si="2"/>
        <v>1.4604699999999998E-8</v>
      </c>
      <c r="M8" s="6">
        <f t="shared" si="0"/>
        <v>1.3431851509783182E-8</v>
      </c>
      <c r="N8" s="6">
        <f t="shared" si="1"/>
        <v>1.5777548490216813E-8</v>
      </c>
      <c r="O8" s="6">
        <f t="shared" si="3"/>
        <v>1.1728484902168157E-9</v>
      </c>
    </row>
    <row r="9" spans="1:21" x14ac:dyDescent="0.25">
      <c r="A9" s="5">
        <v>8</v>
      </c>
      <c r="B9" s="6">
        <f>'Plan11 (2)'!$G18</f>
        <v>1.2145000000000001E-8</v>
      </c>
      <c r="C9" s="6">
        <f>'Plan12 (2)'!$G18</f>
        <v>1.2474999999999999E-8</v>
      </c>
      <c r="D9" s="6">
        <f>'Plan13 (2)'!$G18</f>
        <v>1.5541E-8</v>
      </c>
      <c r="E9" s="6">
        <f>'Plan14 (2)'!$G18</f>
        <v>1.4861999999999999E-8</v>
      </c>
      <c r="F9" s="6">
        <f>'Plan15 (2)'!$G18</f>
        <v>1.6902000000000001E-8</v>
      </c>
      <c r="G9" s="6">
        <f>'Plan16 (2)'!$G18</f>
        <v>1.6869E-8</v>
      </c>
      <c r="H9" s="6">
        <f>'Plan17 (2)'!$G18</f>
        <v>1.1137000000000001E-8</v>
      </c>
      <c r="I9" s="6">
        <f>'Plan18 (2)'!$G18</f>
        <v>1.2156999999999999E-8</v>
      </c>
      <c r="J9" s="6">
        <f>'Plan19 (2)'!$G18</f>
        <v>1.3962E-8</v>
      </c>
      <c r="K9" s="6">
        <f>'Plan20 (2)'!$G18</f>
        <v>1.3219000000000001E-8</v>
      </c>
      <c r="L9" s="7">
        <f t="shared" si="2"/>
        <v>1.3926900000000001E-8</v>
      </c>
      <c r="M9" s="6">
        <f t="shared" si="0"/>
        <v>1.2463017898361327E-8</v>
      </c>
      <c r="N9" s="6">
        <f t="shared" si="1"/>
        <v>1.5390782101638675E-8</v>
      </c>
      <c r="O9" s="6">
        <f t="shared" si="3"/>
        <v>1.4638821016386733E-9</v>
      </c>
    </row>
    <row r="10" spans="1:21" x14ac:dyDescent="0.25">
      <c r="A10" s="5">
        <v>9</v>
      </c>
      <c r="B10" s="6">
        <f>'Plan11 (2)'!$G19</f>
        <v>1.1102000000000001E-8</v>
      </c>
      <c r="C10" s="6">
        <f>'Plan12 (2)'!$G19</f>
        <v>1.2948E-8</v>
      </c>
      <c r="D10" s="6">
        <f>'Plan13 (2)'!$G19</f>
        <v>1.6295999999999999E-8</v>
      </c>
      <c r="E10" s="6">
        <f>'Plan14 (2)'!$G19</f>
        <v>1.4095999999999999E-8</v>
      </c>
      <c r="F10" s="6">
        <f>'Plan15 (2)'!$G19</f>
        <v>1.5839E-8</v>
      </c>
      <c r="G10" s="6">
        <f>'Plan16 (2)'!$G19</f>
        <v>1.7159999999999999E-8</v>
      </c>
      <c r="H10" s="6">
        <f>'Plan17 (2)'!$G19</f>
        <v>1.1272999999999999E-8</v>
      </c>
      <c r="I10" s="6">
        <f>'Plan18 (2)'!$G19</f>
        <v>1.1961E-8</v>
      </c>
      <c r="J10" s="6">
        <f>'Plan19 (2)'!$G19</f>
        <v>1.434E-8</v>
      </c>
      <c r="K10" s="6">
        <f>'Plan20 (2)'!$G19</f>
        <v>1.1622999999999999E-8</v>
      </c>
      <c r="L10" s="7">
        <f t="shared" si="2"/>
        <v>1.3663799999999998E-8</v>
      </c>
      <c r="M10" s="6">
        <f t="shared" si="0"/>
        <v>1.2075218387004426E-8</v>
      </c>
      <c r="N10" s="6">
        <f t="shared" si="1"/>
        <v>1.5252381612995569E-8</v>
      </c>
      <c r="O10" s="6">
        <f t="shared" si="3"/>
        <v>1.5885816129955724E-9</v>
      </c>
    </row>
    <row r="11" spans="1:21" x14ac:dyDescent="0.25">
      <c r="A11" s="8">
        <v>10</v>
      </c>
      <c r="B11" s="6">
        <f>'Plan11 (2)'!$G20</f>
        <v>1.1555999999999999E-8</v>
      </c>
      <c r="C11" s="6">
        <f>'Plan12 (2)'!$G20</f>
        <v>1.2452E-8</v>
      </c>
      <c r="D11" s="6">
        <f>'Plan13 (2)'!$G20</f>
        <v>1.6562E-8</v>
      </c>
      <c r="E11" s="6">
        <f>'Plan14 (2)'!$G20</f>
        <v>1.3240999999999999E-8</v>
      </c>
      <c r="F11" s="6">
        <f>'Plan15 (2)'!$G20</f>
        <v>1.5735999999999999E-8</v>
      </c>
      <c r="G11" s="6">
        <f>'Plan16 (2)'!$G20</f>
        <v>1.7891000000000001E-8</v>
      </c>
      <c r="H11" s="6">
        <f>'Plan17 (2)'!$G20</f>
        <v>1.0233E-8</v>
      </c>
      <c r="I11" s="6">
        <f>'Plan18 (2)'!$G20</f>
        <v>1.095E-8</v>
      </c>
      <c r="J11" s="6">
        <f>'Plan19 (2)'!$G20</f>
        <v>1.3587E-8</v>
      </c>
      <c r="K11" s="6">
        <f>'Plan20 (2)'!$G20</f>
        <v>1.1746E-8</v>
      </c>
      <c r="L11" s="7">
        <f t="shared" si="2"/>
        <v>1.3395399999999999E-8</v>
      </c>
      <c r="M11" s="6">
        <f t="shared" si="0"/>
        <v>1.1567675869409482E-8</v>
      </c>
      <c r="N11" s="6">
        <f t="shared" si="1"/>
        <v>1.5223124130590517E-8</v>
      </c>
      <c r="O11" s="6">
        <f t="shared" si="3"/>
        <v>1.8277241305905174E-9</v>
      </c>
    </row>
    <row r="12" spans="1:21" x14ac:dyDescent="0.25">
      <c r="A12" s="5">
        <v>11</v>
      </c>
      <c r="B12" s="6">
        <f>'Plan11 (2)'!$G21</f>
        <v>1.0871E-8</v>
      </c>
      <c r="C12" s="6">
        <f>'Plan12 (2)'!$G21</f>
        <v>1.2156E-8</v>
      </c>
      <c r="D12" s="6">
        <f>'Plan13 (2)'!$G21</f>
        <v>1.6749E-8</v>
      </c>
      <c r="E12" s="6">
        <f>'Plan14 (2)'!$G21</f>
        <v>1.3108000000000001E-8</v>
      </c>
      <c r="F12" s="6">
        <f>'Plan15 (2)'!$G21</f>
        <v>1.5939000000000001E-8</v>
      </c>
      <c r="G12" s="6">
        <f>'Plan16 (2)'!$G21</f>
        <v>1.8203999999999999E-8</v>
      </c>
      <c r="H12" s="6">
        <f>'Plan17 (2)'!$G21</f>
        <v>1.0049E-8</v>
      </c>
      <c r="I12" s="6">
        <f>'Plan18 (2)'!$G21</f>
        <v>1.0937000000000001E-8</v>
      </c>
      <c r="J12" s="6">
        <f>'Plan19 (2)'!$G21</f>
        <v>1.4273E-8</v>
      </c>
      <c r="K12" s="6">
        <f>'Plan20 (2)'!$G21</f>
        <v>1.1271E-8</v>
      </c>
      <c r="L12" s="7">
        <f t="shared" si="2"/>
        <v>1.3355700000000001E-8</v>
      </c>
      <c r="M12" s="6">
        <f t="shared" si="0"/>
        <v>1.1341658763176825E-8</v>
      </c>
      <c r="N12" s="6">
        <f t="shared" si="1"/>
        <v>1.5369741236823177E-8</v>
      </c>
      <c r="O12" s="6">
        <f t="shared" si="3"/>
        <v>2.0140412368231768E-9</v>
      </c>
    </row>
    <row r="13" spans="1:21" x14ac:dyDescent="0.25">
      <c r="A13" s="5">
        <v>12</v>
      </c>
      <c r="B13" s="6">
        <f>'Plan11 (2)'!$G22</f>
        <v>1.0799E-8</v>
      </c>
      <c r="C13" s="6">
        <f>'Plan12 (2)'!$G22</f>
        <v>1.2518E-8</v>
      </c>
      <c r="D13" s="6">
        <f>'Plan13 (2)'!$G22</f>
        <v>1.7579999999999999E-8</v>
      </c>
      <c r="E13" s="6">
        <f>'Plan14 (2)'!$G22</f>
        <v>1.2340999999999999E-8</v>
      </c>
      <c r="F13" s="6">
        <f>'Plan15 (2)'!$G22</f>
        <v>1.5827E-8</v>
      </c>
      <c r="G13" s="6">
        <f>'Plan16 (2)'!$G22</f>
        <v>1.8892000000000001E-8</v>
      </c>
      <c r="H13" s="6">
        <f>'Plan17 (2)'!$G22</f>
        <v>1.049E-8</v>
      </c>
      <c r="I13" s="6">
        <f>'Plan18 (2)'!$G22</f>
        <v>1.0827999999999999E-8</v>
      </c>
      <c r="J13" s="6">
        <f>'Plan19 (2)'!$G22</f>
        <v>1.4355E-8</v>
      </c>
      <c r="K13" s="6">
        <f>'Plan20 (2)'!$G22</f>
        <v>1.1463E-8</v>
      </c>
      <c r="L13" s="7">
        <f t="shared" si="2"/>
        <v>1.35093E-8</v>
      </c>
      <c r="M13" s="6">
        <f t="shared" si="0"/>
        <v>1.1352430556119729E-8</v>
      </c>
      <c r="N13" s="6">
        <f t="shared" si="1"/>
        <v>1.5666169443880271E-8</v>
      </c>
      <c r="O13" s="6">
        <f t="shared" si="3"/>
        <v>2.1568694438802706E-9</v>
      </c>
    </row>
    <row r="14" spans="1:21" x14ac:dyDescent="0.25">
      <c r="A14" s="5">
        <v>13</v>
      </c>
      <c r="B14" s="6">
        <f>'Plan11 (2)'!$G23</f>
        <v>1.111E-8</v>
      </c>
      <c r="C14" s="6">
        <f>'Plan12 (2)'!$G23</f>
        <v>1.2099E-8</v>
      </c>
      <c r="D14" s="6">
        <f>'Plan13 (2)'!$G23</f>
        <v>1.8071E-8</v>
      </c>
      <c r="E14" s="6">
        <f>'Plan14 (2)'!$G23</f>
        <v>1.2180000000000001E-8</v>
      </c>
      <c r="F14" s="6">
        <f>'Plan15 (2)'!$G23</f>
        <v>1.6035999999999999E-8</v>
      </c>
      <c r="G14" s="6">
        <f>'Plan16 (2)'!$G23</f>
        <v>1.9545000000000001E-8</v>
      </c>
      <c r="H14" s="6">
        <f>'Plan17 (2)'!$G23</f>
        <v>9.8720000000000007E-9</v>
      </c>
      <c r="I14" s="6">
        <f>'Plan18 (2)'!$G23</f>
        <v>1.0255999999999999E-8</v>
      </c>
      <c r="J14" s="6">
        <f>'Plan19 (2)'!$G23</f>
        <v>1.4383E-8</v>
      </c>
      <c r="K14" s="6">
        <f>'Plan20 (2)'!$G23</f>
        <v>1.1034E-8</v>
      </c>
      <c r="L14" s="7">
        <f t="shared" si="2"/>
        <v>1.3458599999999998E-8</v>
      </c>
      <c r="M14" s="6">
        <f t="shared" si="0"/>
        <v>1.1029026258587551E-8</v>
      </c>
      <c r="N14" s="6">
        <f t="shared" si="1"/>
        <v>1.5888173741412447E-8</v>
      </c>
      <c r="O14" s="6">
        <f t="shared" si="3"/>
        <v>2.4295737414124473E-9</v>
      </c>
    </row>
    <row r="15" spans="1:21" x14ac:dyDescent="0.25">
      <c r="A15" s="5">
        <v>14</v>
      </c>
      <c r="B15" s="6">
        <f>'Plan11 (2)'!$G24</f>
        <v>1.0678E-8</v>
      </c>
      <c r="C15" s="6">
        <f>'Plan12 (2)'!$G24</f>
        <v>1.2310000000000001E-8</v>
      </c>
      <c r="D15" s="6">
        <f>'Plan13 (2)'!$G24</f>
        <v>1.8693000000000001E-8</v>
      </c>
      <c r="E15" s="6">
        <f>'Plan14 (2)'!$G24</f>
        <v>1.1759E-8</v>
      </c>
      <c r="F15" s="6">
        <f>'Plan15 (2)'!$G24</f>
        <v>1.5798E-8</v>
      </c>
      <c r="G15" s="6">
        <f>'Plan16 (2)'!$G24</f>
        <v>2.0039999999999999E-8</v>
      </c>
      <c r="H15" s="6">
        <f>'Plan17 (2)'!$G24</f>
        <v>9.9725999999999992E-9</v>
      </c>
      <c r="I15" s="6">
        <f>'Plan18 (2)'!$G24</f>
        <v>1.0211E-8</v>
      </c>
      <c r="J15" s="6">
        <f>'Plan19 (2)'!$G24</f>
        <v>1.4767000000000001E-8</v>
      </c>
      <c r="K15" s="6">
        <f>'Plan20 (2)'!$G24</f>
        <v>1.104E-8</v>
      </c>
      <c r="L15" s="7">
        <f t="shared" si="2"/>
        <v>1.3526859999999999E-8</v>
      </c>
      <c r="M15" s="6">
        <f t="shared" si="0"/>
        <v>1.093287305156969E-8</v>
      </c>
      <c r="N15" s="6">
        <f t="shared" si="1"/>
        <v>1.6120846948430308E-8</v>
      </c>
      <c r="O15" s="6">
        <f t="shared" si="3"/>
        <v>2.5939869484303081E-9</v>
      </c>
    </row>
    <row r="16" spans="1:21" x14ac:dyDescent="0.25">
      <c r="A16" s="5">
        <v>15</v>
      </c>
      <c r="B16" s="6">
        <f>'Plan11 (2)'!$G25</f>
        <v>1.0582E-8</v>
      </c>
      <c r="C16" s="6">
        <f>'Plan12 (2)'!$G25</f>
        <v>1.2520000000000001E-8</v>
      </c>
      <c r="D16" s="6">
        <f>'Plan13 (2)'!$G25</f>
        <v>1.9472999999999998E-8</v>
      </c>
      <c r="E16" s="6">
        <f>'Plan14 (2)'!$G25</f>
        <v>1.1713E-8</v>
      </c>
      <c r="F16" s="6">
        <f>'Plan15 (2)'!$G25</f>
        <v>1.6011E-8</v>
      </c>
      <c r="G16" s="6">
        <f>'Plan16 (2)'!$G25</f>
        <v>2.0721000000000001E-8</v>
      </c>
      <c r="H16" s="6">
        <f>'Plan17 (2)'!$G25</f>
        <v>1.0168E-8</v>
      </c>
      <c r="I16" s="6">
        <f>'Plan18 (2)'!$G25</f>
        <v>1.0128999999999999E-8</v>
      </c>
      <c r="J16" s="6">
        <f>'Plan19 (2)'!$G25</f>
        <v>1.4915999999999999E-8</v>
      </c>
      <c r="K16" s="6">
        <f>'Plan20 (2)'!$G25</f>
        <v>1.1018E-8</v>
      </c>
      <c r="L16" s="7">
        <f t="shared" si="2"/>
        <v>1.3725100000000001E-8</v>
      </c>
      <c r="M16" s="6">
        <f t="shared" si="0"/>
        <v>1.0934925516063456E-8</v>
      </c>
      <c r="N16" s="6">
        <f t="shared" si="1"/>
        <v>1.6515274483936545E-8</v>
      </c>
      <c r="O16" s="6">
        <f t="shared" si="3"/>
        <v>2.7901744839365453E-9</v>
      </c>
    </row>
    <row r="17" spans="1:15" x14ac:dyDescent="0.25">
      <c r="A17" s="5">
        <v>16</v>
      </c>
      <c r="B17" s="6">
        <f>'Plan11 (2)'!$G26</f>
        <v>1.0638000000000001E-8</v>
      </c>
      <c r="C17" s="6">
        <f>'Plan12 (2)'!$G26</f>
        <v>1.2296E-8</v>
      </c>
      <c r="D17" s="6">
        <f>'Plan13 (2)'!$G26</f>
        <v>2.0008E-8</v>
      </c>
      <c r="E17" s="6">
        <f>'Plan14 (2)'!$G26</f>
        <v>1.1628E-8</v>
      </c>
      <c r="F17" s="6">
        <f>'Plan15 (2)'!$G26</f>
        <v>1.5694999999999999E-8</v>
      </c>
      <c r="G17" s="6">
        <f>'Plan16 (2)'!$G26</f>
        <v>2.1317999999999999E-8</v>
      </c>
      <c r="H17" s="6">
        <f>'Plan17 (2)'!$G26</f>
        <v>9.9060999999999999E-9</v>
      </c>
      <c r="I17" s="6">
        <f>'Plan18 (2)'!$G26</f>
        <v>1.0017E-8</v>
      </c>
      <c r="J17" s="6">
        <f>'Plan19 (2)'!$G26</f>
        <v>1.5104999999999999E-8</v>
      </c>
      <c r="K17" s="6">
        <f>'Plan20 (2)'!$G26</f>
        <v>1.0902000000000001E-8</v>
      </c>
      <c r="L17" s="7">
        <f t="shared" si="2"/>
        <v>1.3751310000000001E-8</v>
      </c>
      <c r="M17" s="6">
        <f t="shared" si="0"/>
        <v>1.0780882147523278E-8</v>
      </c>
      <c r="N17" s="6">
        <f t="shared" si="1"/>
        <v>1.6721737852476723E-8</v>
      </c>
      <c r="O17" s="6">
        <f t="shared" si="3"/>
        <v>2.9704278524767237E-9</v>
      </c>
    </row>
    <row r="18" spans="1:15" x14ac:dyDescent="0.25">
      <c r="A18" s="5">
        <v>17</v>
      </c>
      <c r="B18" s="6">
        <f>'Plan11 (2)'!$G27</f>
        <v>1.0207E-8</v>
      </c>
      <c r="C18" s="6">
        <f>'Plan12 (2)'!$G27</f>
        <v>1.2403E-8</v>
      </c>
      <c r="D18" s="6">
        <f>'Plan13 (2)'!$G27</f>
        <v>2.056E-8</v>
      </c>
      <c r="E18" s="6">
        <f>'Plan14 (2)'!$G27</f>
        <v>1.1533999999999999E-8</v>
      </c>
      <c r="F18" s="6">
        <f>'Plan15 (2)'!$G27</f>
        <v>1.5685000000000001E-8</v>
      </c>
      <c r="G18" s="6">
        <f>'Plan16 (2)'!$G27</f>
        <v>2.1832E-8</v>
      </c>
      <c r="H18" s="6">
        <f>'Plan17 (2)'!$G27</f>
        <v>1.02E-8</v>
      </c>
      <c r="I18" s="6">
        <f>'Plan18 (2)'!$G27</f>
        <v>1.0229E-8</v>
      </c>
      <c r="J18" s="6">
        <f>'Plan19 (2)'!$G27</f>
        <v>1.5320000000000001E-8</v>
      </c>
      <c r="K18" s="6">
        <f>'Plan20 (2)'!$G27</f>
        <v>1.1005999999999999E-8</v>
      </c>
      <c r="L18" s="7">
        <f t="shared" si="2"/>
        <v>1.3897599999999998E-8</v>
      </c>
      <c r="M18" s="6">
        <f t="shared" si="0"/>
        <v>1.0793197526493614E-8</v>
      </c>
      <c r="N18" s="6">
        <f t="shared" si="1"/>
        <v>1.7002002473506382E-8</v>
      </c>
      <c r="O18" s="6">
        <f t="shared" si="3"/>
        <v>3.1044024735063849E-9</v>
      </c>
    </row>
    <row r="19" spans="1:15" x14ac:dyDescent="0.25">
      <c r="A19" s="8">
        <v>18</v>
      </c>
      <c r="B19" s="6">
        <f>'Plan11 (2)'!$G28</f>
        <v>1.0061999999999999E-8</v>
      </c>
      <c r="C19" s="6">
        <f>'Plan12 (2)'!$G28</f>
        <v>1.2534E-8</v>
      </c>
      <c r="D19" s="6">
        <f>'Plan13 (2)'!$G28</f>
        <v>2.1263E-8</v>
      </c>
      <c r="E19" s="6">
        <f>'Plan14 (2)'!$G28</f>
        <v>1.1617000000000001E-8</v>
      </c>
      <c r="F19" s="6">
        <f>'Plan15 (2)'!$G28</f>
        <v>1.5647999999999999E-8</v>
      </c>
      <c r="G19" s="6">
        <f>'Plan16 (2)'!$G28</f>
        <v>2.2439E-8</v>
      </c>
      <c r="H19" s="6">
        <f>'Plan17 (2)'!$G28</f>
        <v>1.0423E-8</v>
      </c>
      <c r="I19" s="6">
        <f>'Plan18 (2)'!$G28</f>
        <v>1.0477E-8</v>
      </c>
      <c r="J19" s="6">
        <f>'Plan19 (2)'!$G28</f>
        <v>1.5487000000000002E-8</v>
      </c>
      <c r="K19" s="6">
        <f>'Plan20 (2)'!$G28</f>
        <v>1.0979E-8</v>
      </c>
      <c r="L19" s="7">
        <f t="shared" si="2"/>
        <v>1.40929E-8</v>
      </c>
      <c r="M19" s="6">
        <f t="shared" si="0"/>
        <v>1.0836674719002008E-8</v>
      </c>
      <c r="N19" s="6">
        <f t="shared" si="1"/>
        <v>1.7349125280997994E-8</v>
      </c>
      <c r="O19" s="6">
        <f t="shared" si="3"/>
        <v>3.2562252809979923E-9</v>
      </c>
    </row>
    <row r="20" spans="1:15" x14ac:dyDescent="0.25">
      <c r="A20" s="9">
        <v>19</v>
      </c>
      <c r="B20" s="6">
        <f>'Plan11 (2)'!$G29</f>
        <v>9.9499999999999998E-9</v>
      </c>
      <c r="C20" s="6">
        <f>'Plan12 (2)'!$G29</f>
        <v>1.2398E-8</v>
      </c>
      <c r="D20" s="6">
        <f>'Plan13 (2)'!$G29</f>
        <v>2.1727E-8</v>
      </c>
      <c r="E20" s="6">
        <f>'Plan14 (2)'!$G29</f>
        <v>1.1672E-8</v>
      </c>
      <c r="F20" s="6">
        <f>'Plan15 (2)'!$G29</f>
        <v>1.5606000000000001E-8</v>
      </c>
      <c r="G20" s="6">
        <f>'Plan16 (2)'!$G29</f>
        <v>2.2986000000000001E-8</v>
      </c>
      <c r="H20" s="6">
        <f>'Plan17 (2)'!$G29</f>
        <v>1.0547E-8</v>
      </c>
      <c r="I20" s="6">
        <f>'Plan18 (2)'!$G29</f>
        <v>1.0641000000000001E-8</v>
      </c>
      <c r="J20" s="6">
        <f>'Plan19 (2)'!$G29</f>
        <v>1.5675E-8</v>
      </c>
      <c r="K20" s="6">
        <f>'Plan20 (2)'!$G29</f>
        <v>1.1148999999999999E-8</v>
      </c>
      <c r="L20" s="7">
        <f t="shared" si="2"/>
        <v>1.42351E-8</v>
      </c>
      <c r="M20" s="6">
        <f t="shared" si="0"/>
        <v>1.085437404698247E-8</v>
      </c>
      <c r="N20" s="6">
        <f t="shared" si="1"/>
        <v>1.7615825953017529E-8</v>
      </c>
      <c r="O20" s="6">
        <f t="shared" si="3"/>
        <v>3.3807259530175298E-9</v>
      </c>
    </row>
    <row r="21" spans="1:15" x14ac:dyDescent="0.25">
      <c r="A21" s="9">
        <v>20</v>
      </c>
      <c r="B21" s="6">
        <f>'Plan11 (2)'!$G30</f>
        <v>9.5328999999999996E-9</v>
      </c>
      <c r="C21" s="6">
        <f>'Plan12 (2)'!$G30</f>
        <v>1.2512999999999999E-8</v>
      </c>
      <c r="D21" s="6">
        <f>'Plan13 (2)'!$G30</f>
        <v>2.2236999999999999E-8</v>
      </c>
      <c r="E21" s="6">
        <f>'Plan14 (2)'!$G30</f>
        <v>1.1891E-8</v>
      </c>
      <c r="F21" s="6">
        <f>'Plan15 (2)'!$G30</f>
        <v>1.5704E-8</v>
      </c>
      <c r="G21" s="6">
        <f>'Plan16 (2)'!$G30</f>
        <v>2.3482999999999999E-8</v>
      </c>
      <c r="H21" s="6">
        <f>'Plan17 (2)'!$G30</f>
        <v>1.0732999999999999E-8</v>
      </c>
      <c r="I21" s="6">
        <f>'Plan18 (2)'!$G30</f>
        <v>1.078E-8</v>
      </c>
      <c r="J21" s="6">
        <f>'Plan19 (2)'!$G30</f>
        <v>1.5816000000000001E-8</v>
      </c>
      <c r="K21" s="6">
        <f>'Plan20 (2)'!$G30</f>
        <v>1.1152E-8</v>
      </c>
      <c r="L21" s="7">
        <f t="shared" si="2"/>
        <v>1.4384189999999996E-8</v>
      </c>
      <c r="M21" s="6">
        <f t="shared" si="0"/>
        <v>1.0861322645511597E-8</v>
      </c>
      <c r="N21" s="6">
        <f t="shared" si="1"/>
        <v>1.7907057354488395E-8</v>
      </c>
      <c r="O21" s="6">
        <f t="shared" si="3"/>
        <v>3.5228673544883997E-9</v>
      </c>
    </row>
    <row r="22" spans="1:15" x14ac:dyDescent="0.25">
      <c r="A22" s="9">
        <v>21</v>
      </c>
      <c r="B22" s="6">
        <f>'Plan11 (2)'!$G31</f>
        <v>9.3767999999999993E-9</v>
      </c>
      <c r="C22" s="6">
        <f>'Plan12 (2)'!$G31</f>
        <v>1.2612000000000001E-8</v>
      </c>
      <c r="D22" s="6">
        <f>'Plan13 (2)'!$G31</f>
        <v>2.2833E-8</v>
      </c>
      <c r="E22" s="6">
        <f>'Plan14 (2)'!$G31</f>
        <v>1.219E-8</v>
      </c>
      <c r="F22" s="6">
        <f>'Plan15 (2)'!$G31</f>
        <v>1.5735000000000002E-8</v>
      </c>
      <c r="G22" s="6">
        <f>'Plan16 (2)'!$G31</f>
        <v>2.4018E-8</v>
      </c>
      <c r="H22" s="6">
        <f>'Plan17 (2)'!$G31</f>
        <v>1.0800000000000001E-8</v>
      </c>
      <c r="I22" s="6">
        <f>'Plan18 (2)'!$G31</f>
        <v>1.0902000000000001E-8</v>
      </c>
      <c r="J22" s="6">
        <f>'Plan19 (2)'!$G31</f>
        <v>1.5974999999999999E-8</v>
      </c>
      <c r="K22" s="6">
        <f>'Plan20 (2)'!$G31</f>
        <v>1.139E-8</v>
      </c>
      <c r="L22" s="7">
        <f t="shared" si="2"/>
        <v>1.458318E-8</v>
      </c>
      <c r="M22" s="6">
        <f t="shared" si="0"/>
        <v>1.0926854693400964E-8</v>
      </c>
      <c r="N22" s="6">
        <f t="shared" si="1"/>
        <v>1.8239505306599035E-8</v>
      </c>
      <c r="O22" s="6">
        <f t="shared" si="3"/>
        <v>3.6563253065990361E-9</v>
      </c>
    </row>
    <row r="23" spans="1:15" x14ac:dyDescent="0.25">
      <c r="A23" s="9">
        <v>22</v>
      </c>
      <c r="B23" s="6">
        <f>'Plan11 (2)'!$G32</f>
        <v>9.2091999999999992E-9</v>
      </c>
      <c r="C23" s="6">
        <f>'Plan12 (2)'!$G32</f>
        <v>1.2561000000000001E-8</v>
      </c>
      <c r="D23" s="6">
        <f>'Plan13 (2)'!$G32</f>
        <v>2.3184000000000001E-8</v>
      </c>
      <c r="E23" s="6">
        <f>'Plan14 (2)'!$G32</f>
        <v>1.2391E-8</v>
      </c>
      <c r="F23" s="6">
        <f>'Plan15 (2)'!$G32</f>
        <v>1.592E-8</v>
      </c>
      <c r="G23" s="6">
        <f>'Plan16 (2)'!$G32</f>
        <v>2.454E-8</v>
      </c>
      <c r="H23" s="6">
        <f>'Plan17 (2)'!$G32</f>
        <v>1.0966E-8</v>
      </c>
      <c r="I23" s="6">
        <f>'Plan18 (2)'!$G32</f>
        <v>1.104E-8</v>
      </c>
      <c r="J23" s="6">
        <f>'Plan19 (2)'!$G32</f>
        <v>1.6093999999999998E-8</v>
      </c>
      <c r="K23" s="6">
        <f>'Plan20 (2)'!$G32</f>
        <v>1.1474000000000001E-8</v>
      </c>
      <c r="L23" s="7">
        <f t="shared" si="2"/>
        <v>1.473792E-8</v>
      </c>
      <c r="M23" s="6">
        <f t="shared" si="0"/>
        <v>1.0967490429508086E-8</v>
      </c>
      <c r="N23" s="6">
        <f t="shared" si="1"/>
        <v>1.8508349570491915E-8</v>
      </c>
      <c r="O23" s="6">
        <f t="shared" si="3"/>
        <v>3.7704295704919153E-9</v>
      </c>
    </row>
    <row r="24" spans="1:15" x14ac:dyDescent="0.25">
      <c r="A24" s="9">
        <v>23</v>
      </c>
      <c r="B24" s="6">
        <f>'Plan11 (2)'!$G33</f>
        <v>8.8354999999999999E-9</v>
      </c>
      <c r="C24" s="6">
        <f>'Plan12 (2)'!$G33</f>
        <v>1.2719E-8</v>
      </c>
      <c r="D24" s="6">
        <f>'Plan13 (2)'!$G33</f>
        <v>2.3584999999999999E-8</v>
      </c>
      <c r="E24" s="6">
        <f>'Plan14 (2)'!$G33</f>
        <v>1.2588E-8</v>
      </c>
      <c r="F24" s="6">
        <f>'Plan15 (2)'!$G33</f>
        <v>1.5956999999999999E-8</v>
      </c>
      <c r="G24" s="6">
        <f>'Plan16 (2)'!$G33</f>
        <v>2.5019999999999998E-8</v>
      </c>
      <c r="H24" s="6">
        <f>'Plan17 (2)'!$G33</f>
        <v>1.1094E-8</v>
      </c>
      <c r="I24" s="6">
        <f>'Plan18 (2)'!$G33</f>
        <v>1.1135E-8</v>
      </c>
      <c r="J24" s="6">
        <f>'Plan19 (2)'!$G33</f>
        <v>1.6204000000000001E-8</v>
      </c>
      <c r="K24" s="6">
        <f>'Plan20 (2)'!$G33</f>
        <v>1.1611000000000001E-8</v>
      </c>
      <c r="L24" s="7">
        <f t="shared" si="2"/>
        <v>1.4874850000000001E-8</v>
      </c>
      <c r="M24" s="6">
        <f t="shared" si="0"/>
        <v>1.0978407961477641E-8</v>
      </c>
      <c r="N24" s="6">
        <f t="shared" si="1"/>
        <v>1.8771292038522361E-8</v>
      </c>
      <c r="O24" s="6">
        <f t="shared" si="3"/>
        <v>3.8964420385223587E-9</v>
      </c>
    </row>
    <row r="25" spans="1:15" x14ac:dyDescent="0.25">
      <c r="A25" s="9">
        <v>24</v>
      </c>
      <c r="B25" s="6">
        <f>'Plan11 (2)'!$G34</f>
        <v>8.7145E-9</v>
      </c>
      <c r="C25" s="6">
        <f>'Plan12 (2)'!$G34</f>
        <v>1.2825000000000001E-8</v>
      </c>
      <c r="D25" s="6">
        <f>'Plan13 (2)'!$G34</f>
        <v>2.3984000000000002E-8</v>
      </c>
      <c r="E25" s="6">
        <f>'Plan14 (2)'!$G34</f>
        <v>1.2820999999999999E-8</v>
      </c>
      <c r="F25" s="6">
        <f>'Plan15 (2)'!$G34</f>
        <v>1.6139E-8</v>
      </c>
      <c r="G25" s="6">
        <f>'Plan16 (2)'!$G34</f>
        <v>2.5492000000000001E-8</v>
      </c>
      <c r="H25" s="6">
        <f>'Plan17 (2)'!$G34</f>
        <v>1.1244E-8</v>
      </c>
      <c r="I25" s="6">
        <f>'Plan18 (2)'!$G34</f>
        <v>1.1317E-8</v>
      </c>
      <c r="J25" s="6">
        <f>'Plan19 (2)'!$G34</f>
        <v>1.632E-8</v>
      </c>
      <c r="K25" s="6">
        <f>'Plan20 (2)'!$G34</f>
        <v>1.1727E-8</v>
      </c>
      <c r="L25" s="7">
        <f t="shared" si="2"/>
        <v>1.5058350000000004E-8</v>
      </c>
      <c r="M25" s="6">
        <f t="shared" si="0"/>
        <v>1.1059946959544809E-8</v>
      </c>
      <c r="N25" s="6">
        <f t="shared" si="1"/>
        <v>1.9056753040455201E-8</v>
      </c>
      <c r="O25" s="6">
        <f t="shared" si="3"/>
        <v>3.9984030404551951E-9</v>
      </c>
    </row>
    <row r="26" spans="1:15" x14ac:dyDescent="0.25">
      <c r="A26" s="9">
        <v>25</v>
      </c>
      <c r="B26" s="6">
        <f>'Plan11 (2)'!$G35</f>
        <v>8.5365E-9</v>
      </c>
      <c r="C26" s="6">
        <f>'Plan12 (2)'!$G35</f>
        <v>1.2855E-8</v>
      </c>
      <c r="D26" s="6">
        <f>'Plan13 (2)'!$G35</f>
        <v>2.4272999999999998E-8</v>
      </c>
      <c r="E26" s="6">
        <f>'Plan14 (2)'!$G35</f>
        <v>1.3095000000000001E-8</v>
      </c>
      <c r="F26" s="6">
        <f>'Plan15 (2)'!$G35</f>
        <v>1.6280999999999999E-8</v>
      </c>
      <c r="G26" s="6">
        <f>'Plan16 (2)'!$G35</f>
        <v>2.5988000000000001E-8</v>
      </c>
      <c r="H26" s="6">
        <f>'Plan17 (2)'!$G35</f>
        <v>1.1495E-8</v>
      </c>
      <c r="I26" s="6">
        <f>'Plan18 (2)'!$G35</f>
        <v>1.1485999999999999E-8</v>
      </c>
      <c r="J26" s="6">
        <f>'Plan19 (2)'!$G35</f>
        <v>1.6412999999999999E-8</v>
      </c>
      <c r="K26" s="6">
        <f>'Plan20 (2)'!$G35</f>
        <v>1.1889999999999999E-8</v>
      </c>
      <c r="L26" s="7">
        <f t="shared" si="2"/>
        <v>1.5231249999999999E-8</v>
      </c>
      <c r="M26" s="6">
        <f t="shared" si="0"/>
        <v>1.1141673861627391E-8</v>
      </c>
      <c r="N26" s="6">
        <f t="shared" si="1"/>
        <v>1.9320826138372608E-8</v>
      </c>
      <c r="O26" s="6">
        <f t="shared" si="3"/>
        <v>4.0895761383726094E-9</v>
      </c>
    </row>
    <row r="27" spans="1:15" x14ac:dyDescent="0.25">
      <c r="A27" s="9">
        <v>26</v>
      </c>
      <c r="B27" s="6">
        <f>'Plan11 (2)'!$G36</f>
        <v>8.2699000000000002E-9</v>
      </c>
      <c r="C27" s="6">
        <f>'Plan12 (2)'!$G36</f>
        <v>1.2967E-8</v>
      </c>
      <c r="D27" s="6">
        <f>'Plan13 (2)'!$G36</f>
        <v>2.4642E-8</v>
      </c>
      <c r="E27" s="6">
        <f>'Plan14 (2)'!$G36</f>
        <v>1.3396E-8</v>
      </c>
      <c r="F27" s="6">
        <f>'Plan15 (2)'!$G36</f>
        <v>1.6394999999999999E-8</v>
      </c>
      <c r="G27" s="6">
        <f>'Plan16 (2)'!$G36</f>
        <v>2.6449999999999999E-8</v>
      </c>
      <c r="H27" s="6">
        <f>'Plan17 (2)'!$G36</f>
        <v>1.1676999999999999E-8</v>
      </c>
      <c r="I27" s="6">
        <f>'Plan18 (2)'!$G36</f>
        <v>1.1668000000000001E-8</v>
      </c>
      <c r="J27" s="6">
        <f>'Plan19 (2)'!$G36</f>
        <v>1.6505000000000001E-8</v>
      </c>
      <c r="K27" s="6">
        <f>'Plan20 (2)'!$G36</f>
        <v>1.2067E-8</v>
      </c>
      <c r="L27" s="7">
        <f t="shared" si="2"/>
        <v>1.5403690000000001E-8</v>
      </c>
      <c r="M27" s="6">
        <f t="shared" si="0"/>
        <v>1.1209373988535328E-8</v>
      </c>
      <c r="N27" s="6">
        <f t="shared" si="1"/>
        <v>1.9598006011464673E-8</v>
      </c>
      <c r="O27" s="6">
        <f t="shared" si="3"/>
        <v>4.194316011464672E-9</v>
      </c>
    </row>
    <row r="28" spans="1:15" x14ac:dyDescent="0.25">
      <c r="A28" s="9">
        <v>27</v>
      </c>
      <c r="B28" s="6">
        <f>'Plan11 (2)'!$G37</f>
        <v>8.1770999999999998E-9</v>
      </c>
      <c r="C28" s="6">
        <f>'Plan12 (2)'!$G37</f>
        <v>1.2981000000000001E-8</v>
      </c>
      <c r="D28" s="6">
        <f>'Plan13 (2)'!$G37</f>
        <v>2.4916E-8</v>
      </c>
      <c r="E28" s="6">
        <f>'Plan14 (2)'!$G37</f>
        <v>1.3704999999999999E-8</v>
      </c>
      <c r="F28" s="6">
        <f>'Plan15 (2)'!$G37</f>
        <v>1.6590000000000002E-8</v>
      </c>
      <c r="G28" s="6">
        <f>'Plan16 (2)'!$G37</f>
        <v>2.6886E-8</v>
      </c>
      <c r="H28" s="6">
        <f>'Plan17 (2)'!$G37</f>
        <v>1.1876E-8</v>
      </c>
      <c r="I28" s="6">
        <f>'Plan18 (2)'!$G37</f>
        <v>1.1844E-8</v>
      </c>
      <c r="J28" s="6">
        <f>'Plan19 (2)'!$G37</f>
        <v>1.6609E-8</v>
      </c>
      <c r="K28" s="6">
        <f>'Plan20 (2)'!$G37</f>
        <v>1.2224000000000001E-8</v>
      </c>
      <c r="L28" s="7">
        <f t="shared" si="2"/>
        <v>1.5580810000000001E-8</v>
      </c>
      <c r="M28" s="6">
        <f t="shared" si="0"/>
        <v>1.1308060996432252E-8</v>
      </c>
      <c r="N28" s="6">
        <f t="shared" si="1"/>
        <v>1.9853559003567751E-8</v>
      </c>
      <c r="O28" s="6">
        <f t="shared" si="3"/>
        <v>4.2727490035677506E-9</v>
      </c>
    </row>
    <row r="29" spans="1:15" x14ac:dyDescent="0.25">
      <c r="A29" s="9">
        <v>28</v>
      </c>
      <c r="B29" s="6">
        <f>'Plan11 (2)'!$G38</f>
        <v>7.9717000000000005E-9</v>
      </c>
      <c r="C29" s="6">
        <f>'Plan12 (2)'!$G38</f>
        <v>1.3043E-8</v>
      </c>
      <c r="D29" s="6">
        <f>'Plan13 (2)'!$G38</f>
        <v>2.5147E-8</v>
      </c>
      <c r="E29" s="6">
        <f>'Plan14 (2)'!$G38</f>
        <v>1.4086E-8</v>
      </c>
      <c r="F29" s="6">
        <f>'Plan15 (2)'!$G38</f>
        <v>1.6793E-8</v>
      </c>
      <c r="G29" s="6">
        <f>'Plan16 (2)'!$G38</f>
        <v>2.7356E-8</v>
      </c>
      <c r="H29" s="6">
        <f>'Plan17 (2)'!$G38</f>
        <v>1.2089999999999999E-8</v>
      </c>
      <c r="I29" s="6">
        <f>'Plan18 (2)'!$G38</f>
        <v>1.2032E-8</v>
      </c>
      <c r="J29" s="6">
        <f>'Plan19 (2)'!$G38</f>
        <v>1.6712999999999999E-8</v>
      </c>
      <c r="K29" s="6">
        <f>'Plan20 (2)'!$G38</f>
        <v>1.2412000000000001E-8</v>
      </c>
      <c r="L29" s="7">
        <f t="shared" si="2"/>
        <v>1.5764369999999997E-8</v>
      </c>
      <c r="M29" s="6">
        <f t="shared" si="0"/>
        <v>1.1406651330655807E-8</v>
      </c>
      <c r="N29" s="6">
        <f t="shared" si="1"/>
        <v>2.0122088669344187E-8</v>
      </c>
      <c r="O29" s="6">
        <f t="shared" si="3"/>
        <v>4.3577186693441907E-9</v>
      </c>
    </row>
    <row r="30" spans="1:15" x14ac:dyDescent="0.25">
      <c r="A30" s="9">
        <v>29</v>
      </c>
      <c r="B30" s="6">
        <f>'Plan11 (2)'!$G39</f>
        <v>7.6951999999999996E-9</v>
      </c>
      <c r="C30" s="6">
        <f>'Plan12 (2)'!$G39</f>
        <v>1.3122E-8</v>
      </c>
      <c r="D30" s="6">
        <f>'Plan13 (2)'!$G39</f>
        <v>2.5440000000000001E-8</v>
      </c>
      <c r="E30" s="6">
        <f>'Plan14 (2)'!$G39</f>
        <v>1.4381999999999999E-8</v>
      </c>
      <c r="F30" s="6">
        <f>'Plan15 (2)'!$G39</f>
        <v>1.7058E-8</v>
      </c>
      <c r="G30" s="6">
        <f>'Plan16 (2)'!$G39</f>
        <v>2.7808E-8</v>
      </c>
      <c r="H30" s="6">
        <f>'Plan17 (2)'!$G39</f>
        <v>1.2232E-8</v>
      </c>
      <c r="I30" s="6">
        <f>'Plan18 (2)'!$G39</f>
        <v>1.2232999999999999E-8</v>
      </c>
      <c r="J30" s="6">
        <f>'Plan19 (2)'!$G39</f>
        <v>1.6787E-8</v>
      </c>
      <c r="K30" s="6">
        <f>'Plan20 (2)'!$G39</f>
        <v>1.2547999999999999E-8</v>
      </c>
      <c r="L30" s="7">
        <f t="shared" si="2"/>
        <v>1.5930519999999998E-8</v>
      </c>
      <c r="M30" s="6">
        <f t="shared" si="0"/>
        <v>1.1466887479298427E-8</v>
      </c>
      <c r="N30" s="6">
        <f t="shared" si="1"/>
        <v>2.0394152520701569E-8</v>
      </c>
      <c r="O30" s="6">
        <f t="shared" si="3"/>
        <v>4.463632520701571E-9</v>
      </c>
    </row>
    <row r="31" spans="1:15" x14ac:dyDescent="0.25">
      <c r="A31" s="10">
        <v>30</v>
      </c>
      <c r="B31" s="6">
        <f>'Plan11 (2)'!$G40</f>
        <v>7.5584999999999995E-9</v>
      </c>
      <c r="C31" s="6">
        <f>'Plan12 (2)'!$G40</f>
        <v>1.3103999999999999E-8</v>
      </c>
      <c r="D31" s="6">
        <f>'Plan13 (2)'!$G40</f>
        <v>2.5612999999999999E-8</v>
      </c>
      <c r="E31" s="6">
        <f>'Plan14 (2)'!$G40</f>
        <v>1.4673E-8</v>
      </c>
      <c r="F31" s="6">
        <f>'Plan15 (2)'!$G40</f>
        <v>1.7175E-8</v>
      </c>
      <c r="G31" s="6">
        <f>'Plan16 (2)'!$G40</f>
        <v>2.8211E-8</v>
      </c>
      <c r="H31" s="6">
        <f>'Plan17 (2)'!$G40</f>
        <v>1.2385999999999999E-8</v>
      </c>
      <c r="I31" s="6">
        <f>'Plan18 (2)'!$G40</f>
        <v>1.234E-8</v>
      </c>
      <c r="J31" s="6">
        <f>'Plan19 (2)'!$G40</f>
        <v>1.6905999999999999E-8</v>
      </c>
      <c r="K31" s="6">
        <f>'Plan20 (2)'!$G40</f>
        <v>1.2679000000000001E-8</v>
      </c>
      <c r="L31" s="7">
        <f t="shared" si="2"/>
        <v>1.6064550000000001E-8</v>
      </c>
      <c r="M31" s="6">
        <f t="shared" si="0"/>
        <v>1.1524112674487158E-8</v>
      </c>
      <c r="N31" s="6">
        <f t="shared" si="1"/>
        <v>2.0604987325512843E-8</v>
      </c>
      <c r="O31" s="6">
        <f t="shared" si="3"/>
        <v>4.5404373255128425E-9</v>
      </c>
    </row>
    <row r="32" spans="1:15" x14ac:dyDescent="0.25">
      <c r="A32" s="9">
        <v>31</v>
      </c>
      <c r="B32" s="6">
        <f>'Plan11 (2)'!$G41</f>
        <v>7.3399999999999999E-9</v>
      </c>
      <c r="C32" s="6">
        <f>'Plan12 (2)'!$G41</f>
        <v>1.3161E-8</v>
      </c>
      <c r="D32" s="6">
        <f>'Plan13 (2)'!$G41</f>
        <v>2.5786E-8</v>
      </c>
      <c r="E32" s="6">
        <f>'Plan14 (2)'!$G41</f>
        <v>1.5016E-8</v>
      </c>
      <c r="F32" s="6">
        <f>'Plan15 (2)'!$G41</f>
        <v>1.7337000000000002E-8</v>
      </c>
      <c r="G32" s="6">
        <f>'Plan16 (2)'!$G41</f>
        <v>2.8629000000000001E-8</v>
      </c>
      <c r="H32" s="6">
        <f>'Plan17 (2)'!$G41</f>
        <v>1.2557E-8</v>
      </c>
      <c r="I32" s="6">
        <f>'Plan18 (2)'!$G41</f>
        <v>1.2496E-8</v>
      </c>
      <c r="J32" s="6">
        <f>'Plan19 (2)'!$G41</f>
        <v>1.7010999999999999E-8</v>
      </c>
      <c r="K32" s="6">
        <f>'Plan20 (2)'!$G41</f>
        <v>1.2847000000000001E-8</v>
      </c>
      <c r="L32" s="7">
        <f t="shared" si="2"/>
        <v>1.6218E-8</v>
      </c>
      <c r="M32" s="6">
        <f t="shared" si="0"/>
        <v>1.1596148851823753E-8</v>
      </c>
      <c r="N32" s="6">
        <f t="shared" si="1"/>
        <v>2.0839851148176247E-8</v>
      </c>
      <c r="O32" s="6">
        <f t="shared" si="3"/>
        <v>4.6218511481762459E-9</v>
      </c>
    </row>
    <row r="33" spans="1:15" x14ac:dyDescent="0.25">
      <c r="A33" s="9">
        <v>32</v>
      </c>
      <c r="B33" s="6">
        <f>'Plan11 (2)'!$G42</f>
        <v>7.1317000000000001E-9</v>
      </c>
      <c r="C33" s="6">
        <f>'Plan12 (2)'!$G42</f>
        <v>1.3217E-8</v>
      </c>
      <c r="D33" s="6">
        <f>'Plan13 (2)'!$G42</f>
        <v>2.5971000000000001E-8</v>
      </c>
      <c r="E33" s="6">
        <f>'Plan14 (2)'!$G42</f>
        <v>1.5230999999999999E-8</v>
      </c>
      <c r="F33" s="6">
        <f>'Plan15 (2)'!$G42</f>
        <v>1.7415000000000001E-8</v>
      </c>
      <c r="G33" s="6">
        <f>'Plan16 (2)'!$G42</f>
        <v>2.9043000000000001E-8</v>
      </c>
      <c r="H33" s="6">
        <f>'Plan17 (2)'!$G42</f>
        <v>1.2725999999999999E-8</v>
      </c>
      <c r="I33" s="6">
        <f>'Plan18 (2)'!$G42</f>
        <v>1.2626E-8</v>
      </c>
      <c r="J33" s="6">
        <f>'Plan19 (2)'!$G42</f>
        <v>1.7077000000000001E-8</v>
      </c>
      <c r="K33" s="6">
        <f>'Plan20 (2)'!$G42</f>
        <v>1.3029E-8</v>
      </c>
      <c r="L33" s="7">
        <f t="shared" si="2"/>
        <v>1.6346669999999998E-8</v>
      </c>
      <c r="M33" s="6">
        <f t="shared" si="0"/>
        <v>1.1641153320394958E-8</v>
      </c>
      <c r="N33" s="6">
        <f t="shared" si="1"/>
        <v>2.1052186679605039E-8</v>
      </c>
      <c r="O33" s="6">
        <f t="shared" si="3"/>
        <v>4.7055166796050397E-9</v>
      </c>
    </row>
    <row r="34" spans="1:15" x14ac:dyDescent="0.25">
      <c r="A34" s="9">
        <v>33</v>
      </c>
      <c r="B34" s="6">
        <f>'Plan11 (2)'!$G43</f>
        <v>7.0565000000000002E-9</v>
      </c>
      <c r="C34" s="6">
        <f>'Plan12 (2)'!$G43</f>
        <v>1.3234E-8</v>
      </c>
      <c r="D34" s="6">
        <f>'Plan13 (2)'!$G43</f>
        <v>2.6061000000000001E-8</v>
      </c>
      <c r="E34" s="6">
        <f>'Plan14 (2)'!$G43</f>
        <v>1.5475999999999999E-8</v>
      </c>
      <c r="F34" s="6">
        <f>'Plan15 (2)'!$G43</f>
        <v>1.7471000000000001E-8</v>
      </c>
      <c r="G34" s="6">
        <f>'Plan16 (2)'!$G43</f>
        <v>2.9433E-8</v>
      </c>
      <c r="H34" s="6">
        <f>'Plan17 (2)'!$G43</f>
        <v>1.2894E-8</v>
      </c>
      <c r="I34" s="6">
        <f>'Plan18 (2)'!$G43</f>
        <v>1.2753E-8</v>
      </c>
      <c r="J34" s="6">
        <f>'Plan19 (2)'!$G43</f>
        <v>1.7161000000000001E-8</v>
      </c>
      <c r="K34" s="6">
        <f>'Plan20 (2)'!$G43</f>
        <v>1.3166E-8</v>
      </c>
      <c r="L34" s="7">
        <f t="shared" si="2"/>
        <v>1.6470550000000001E-8</v>
      </c>
      <c r="M34" s="6">
        <f t="shared" si="0"/>
        <v>1.1706871416924338E-8</v>
      </c>
      <c r="N34" s="6">
        <f t="shared" si="1"/>
        <v>2.1234228583075666E-8</v>
      </c>
      <c r="O34" s="6">
        <f t="shared" si="3"/>
        <v>4.7636785830756636E-9</v>
      </c>
    </row>
    <row r="35" spans="1:15" x14ac:dyDescent="0.25">
      <c r="A35" s="9">
        <v>34</v>
      </c>
      <c r="B35" s="6">
        <f>'Plan11 (2)'!$G44</f>
        <v>6.9342000000000003E-9</v>
      </c>
      <c r="C35" s="6">
        <f>'Plan12 (2)'!$G44</f>
        <v>1.3325E-8</v>
      </c>
      <c r="D35" s="6">
        <f>'Plan13 (2)'!$G44</f>
        <v>2.6198000000000001E-8</v>
      </c>
      <c r="E35" s="6">
        <f>'Plan14 (2)'!$G44</f>
        <v>1.5697000000000002E-8</v>
      </c>
      <c r="F35" s="6">
        <f>'Plan15 (2)'!$G44</f>
        <v>1.7526999999999999E-8</v>
      </c>
      <c r="G35" s="6">
        <f>'Plan16 (2)'!$G44</f>
        <v>2.9841000000000002E-8</v>
      </c>
      <c r="H35" s="6">
        <f>'Plan17 (2)'!$G44</f>
        <v>1.3006000000000001E-8</v>
      </c>
      <c r="I35" s="6">
        <f>'Plan18 (2)'!$G44</f>
        <v>1.2873000000000001E-8</v>
      </c>
      <c r="J35" s="6">
        <f>'Plan19 (2)'!$G44</f>
        <v>1.7213E-8</v>
      </c>
      <c r="K35" s="6">
        <f>'Plan20 (2)'!$G44</f>
        <v>1.3327000000000001E-8</v>
      </c>
      <c r="L35" s="7">
        <f t="shared" si="2"/>
        <v>1.6594120000000001E-8</v>
      </c>
      <c r="M35" s="6">
        <f t="shared" si="0"/>
        <v>1.1758950198404912E-8</v>
      </c>
      <c r="N35" s="6">
        <f t="shared" si="1"/>
        <v>2.1429289801595091E-8</v>
      </c>
      <c r="O35" s="6">
        <f t="shared" si="3"/>
        <v>4.8351698015950891E-9</v>
      </c>
    </row>
    <row r="36" spans="1:15" x14ac:dyDescent="0.25">
      <c r="A36" s="9">
        <v>35</v>
      </c>
      <c r="B36" s="6">
        <f>'Plan11 (2)'!$G45</f>
        <v>6.8152999999999998E-9</v>
      </c>
      <c r="C36" s="6">
        <f>'Plan12 (2)'!$G45</f>
        <v>1.3367E-8</v>
      </c>
      <c r="D36" s="6">
        <f>'Plan13 (2)'!$G45</f>
        <v>2.6335000000000001E-8</v>
      </c>
      <c r="E36" s="6">
        <f>'Plan14 (2)'!$G45</f>
        <v>1.5895999999999999E-8</v>
      </c>
      <c r="F36" s="6">
        <f>'Plan15 (2)'!$G45</f>
        <v>1.7570000000000001E-8</v>
      </c>
      <c r="G36" s="6">
        <f>'Plan16 (2)'!$G45</f>
        <v>3.023E-8</v>
      </c>
      <c r="H36" s="6">
        <f>'Plan17 (2)'!$G45</f>
        <v>1.3124000000000001E-8</v>
      </c>
      <c r="I36" s="6">
        <f>'Plan18 (2)'!$G45</f>
        <v>1.294E-8</v>
      </c>
      <c r="J36" s="6">
        <f>'Plan19 (2)'!$G45</f>
        <v>1.7266000000000001E-8</v>
      </c>
      <c r="K36" s="6">
        <f>'Plan20 (2)'!$G45</f>
        <v>1.3528E-8</v>
      </c>
      <c r="L36" s="7">
        <f t="shared" si="2"/>
        <v>1.6707129999999997E-8</v>
      </c>
      <c r="M36" s="6">
        <f t="shared" si="0"/>
        <v>1.1800453510275718E-8</v>
      </c>
      <c r="N36" s="6">
        <f t="shared" si="1"/>
        <v>2.1613806489724276E-8</v>
      </c>
      <c r="O36" s="6">
        <f t="shared" si="3"/>
        <v>4.9066764897242785E-9</v>
      </c>
    </row>
    <row r="37" spans="1:15" x14ac:dyDescent="0.25">
      <c r="A37" s="9">
        <v>36</v>
      </c>
      <c r="B37" s="6">
        <f>'Plan11 (2)'!$G46</f>
        <v>6.7914000000000003E-9</v>
      </c>
      <c r="C37" s="6">
        <f>'Plan12 (2)'!$G46</f>
        <v>1.3463E-8</v>
      </c>
      <c r="D37" s="6">
        <f>'Plan13 (2)'!$G46</f>
        <v>2.6431E-8</v>
      </c>
      <c r="E37" s="6">
        <f>'Plan14 (2)'!$G46</f>
        <v>1.6063E-8</v>
      </c>
      <c r="F37" s="6">
        <f>'Plan15 (2)'!$G46</f>
        <v>1.7665E-8</v>
      </c>
      <c r="G37" s="6">
        <f>'Plan16 (2)'!$G46</f>
        <v>3.0604000000000001E-8</v>
      </c>
      <c r="H37" s="6">
        <f>'Plan17 (2)'!$G46</f>
        <v>1.324E-8</v>
      </c>
      <c r="I37" s="6">
        <f>'Plan18 (2)'!$G46</f>
        <v>1.3036E-8</v>
      </c>
      <c r="J37" s="6">
        <f>'Plan19 (2)'!$G46</f>
        <v>1.7351999999999999E-8</v>
      </c>
      <c r="K37" s="6">
        <f>'Plan20 (2)'!$G46</f>
        <v>1.3745E-8</v>
      </c>
      <c r="L37" s="7">
        <f t="shared" si="2"/>
        <v>1.6839040000000002E-8</v>
      </c>
      <c r="M37" s="6">
        <f t="shared" si="0"/>
        <v>1.1880783460519508E-8</v>
      </c>
      <c r="N37" s="6">
        <f t="shared" si="1"/>
        <v>2.1797296539480497E-8</v>
      </c>
      <c r="O37" s="6">
        <f t="shared" si="3"/>
        <v>4.9582565394804955E-9</v>
      </c>
    </row>
    <row r="38" spans="1:15" x14ac:dyDescent="0.25">
      <c r="A38" s="9">
        <v>37</v>
      </c>
      <c r="B38" s="6">
        <f>'Plan11 (2)'!$G47</f>
        <v>6.7333999999999999E-9</v>
      </c>
      <c r="C38" s="6">
        <f>'Plan12 (2)'!$G47</f>
        <v>1.3601E-8</v>
      </c>
      <c r="D38" s="6">
        <f>'Plan13 (2)'!$G47</f>
        <v>2.6563999999999999E-8</v>
      </c>
      <c r="E38" s="6">
        <f>'Plan14 (2)'!$G47</f>
        <v>1.6218E-8</v>
      </c>
      <c r="F38" s="6">
        <f>'Plan15 (2)'!$G47</f>
        <v>1.7730999999999998E-8</v>
      </c>
      <c r="G38" s="6">
        <f>'Plan16 (2)'!$G47</f>
        <v>3.0984000000000001E-8</v>
      </c>
      <c r="H38" s="6">
        <f>'Plan17 (2)'!$G47</f>
        <v>1.3361E-8</v>
      </c>
      <c r="I38" s="6">
        <f>'Plan18 (2)'!$G47</f>
        <v>1.3107E-8</v>
      </c>
      <c r="J38" s="6">
        <f>'Plan19 (2)'!$G47</f>
        <v>1.7407000000000002E-8</v>
      </c>
      <c r="K38" s="6">
        <f>'Plan20 (2)'!$G47</f>
        <v>1.3974E-8</v>
      </c>
      <c r="L38" s="7">
        <f t="shared" si="2"/>
        <v>1.696804E-8</v>
      </c>
      <c r="M38" s="6">
        <f t="shared" si="0"/>
        <v>1.1950137811086578E-8</v>
      </c>
      <c r="N38" s="6">
        <f t="shared" si="1"/>
        <v>2.1985942188913421E-8</v>
      </c>
      <c r="O38" s="6">
        <f t="shared" si="3"/>
        <v>5.0179021889134224E-9</v>
      </c>
    </row>
    <row r="39" spans="1:15" x14ac:dyDescent="0.25">
      <c r="A39" s="9">
        <v>38</v>
      </c>
      <c r="B39" s="6">
        <f>'Plan11 (2)'!$G48</f>
        <v>6.6696000000000002E-9</v>
      </c>
      <c r="C39" s="6">
        <f>'Plan12 (2)'!$G48</f>
        <v>1.37E-8</v>
      </c>
      <c r="D39" s="6">
        <f>'Plan13 (2)'!$G48</f>
        <v>2.6665000000000001E-8</v>
      </c>
      <c r="E39" s="6">
        <f>'Plan14 (2)'!$G48</f>
        <v>1.6408E-8</v>
      </c>
      <c r="F39" s="6">
        <f>'Plan15 (2)'!$G48</f>
        <v>1.7832E-8</v>
      </c>
      <c r="G39" s="6">
        <f>'Plan16 (2)'!$G48</f>
        <v>3.1317000000000002E-8</v>
      </c>
      <c r="H39" s="6">
        <f>'Plan17 (2)'!$G48</f>
        <v>1.3558999999999999E-8</v>
      </c>
      <c r="I39" s="6">
        <f>'Plan18 (2)'!$G48</f>
        <v>1.3202999999999999E-8</v>
      </c>
      <c r="J39" s="6">
        <f>'Plan19 (2)'!$G48</f>
        <v>1.7444999999999998E-8</v>
      </c>
      <c r="K39" s="6">
        <f>'Plan20 (2)'!$G48</f>
        <v>1.4164E-8</v>
      </c>
      <c r="L39" s="7">
        <f t="shared" si="2"/>
        <v>1.709626E-8</v>
      </c>
      <c r="M39" s="6">
        <f t="shared" si="0"/>
        <v>1.2029810584780858E-8</v>
      </c>
      <c r="N39" s="6">
        <f t="shared" si="1"/>
        <v>2.2162709415219142E-8</v>
      </c>
      <c r="O39" s="6">
        <f t="shared" si="3"/>
        <v>5.0664494152191412E-9</v>
      </c>
    </row>
    <row r="40" spans="1:15" x14ac:dyDescent="0.25">
      <c r="A40" s="9">
        <v>39</v>
      </c>
      <c r="B40" s="6">
        <f>'Plan11 (2)'!$G49</f>
        <v>6.6422999999999997E-9</v>
      </c>
      <c r="C40" s="6">
        <f>'Plan12 (2)'!$G49</f>
        <v>1.3785000000000001E-8</v>
      </c>
      <c r="D40" s="6">
        <f>'Plan13 (2)'!$G49</f>
        <v>2.6759000000000002E-8</v>
      </c>
      <c r="E40" s="6">
        <f>'Plan14 (2)'!$G49</f>
        <v>1.6552000000000002E-8</v>
      </c>
      <c r="F40" s="6">
        <f>'Plan15 (2)'!$G49</f>
        <v>1.7913E-8</v>
      </c>
      <c r="G40" s="6">
        <f>'Plan16 (2)'!$G49</f>
        <v>3.1638000000000002E-8</v>
      </c>
      <c r="H40" s="6">
        <f>'Plan17 (2)'!$G49</f>
        <v>1.377E-8</v>
      </c>
      <c r="I40" s="6">
        <f>'Plan18 (2)'!$G49</f>
        <v>1.3312E-8</v>
      </c>
      <c r="J40" s="6">
        <f>'Plan19 (2)'!$G49</f>
        <v>1.7499E-8</v>
      </c>
      <c r="K40" s="6">
        <f>'Plan20 (2)'!$G49</f>
        <v>1.439E-8</v>
      </c>
      <c r="L40" s="7">
        <f t="shared" si="2"/>
        <v>1.7226030000000001E-8</v>
      </c>
      <c r="M40" s="6">
        <f t="shared" si="0"/>
        <v>1.2118773440103633E-8</v>
      </c>
      <c r="N40" s="6">
        <f t="shared" si="1"/>
        <v>2.2333286559896369E-8</v>
      </c>
      <c r="O40" s="6">
        <f t="shared" si="3"/>
        <v>5.1072565598963671E-9</v>
      </c>
    </row>
    <row r="41" spans="1:15" x14ac:dyDescent="0.25">
      <c r="A41" s="10">
        <v>40</v>
      </c>
      <c r="B41" s="6">
        <f>'Plan11 (2)'!$G50</f>
        <v>6.5763999999999997E-9</v>
      </c>
      <c r="C41" s="6">
        <f>'Plan12 (2)'!$G50</f>
        <v>1.3891E-8</v>
      </c>
      <c r="D41" s="6">
        <f>'Plan13 (2)'!$G50</f>
        <v>2.6890999999999999E-8</v>
      </c>
      <c r="E41" s="6">
        <f>'Plan14 (2)'!$G50</f>
        <v>1.6708E-8</v>
      </c>
      <c r="F41" s="6">
        <f>'Plan15 (2)'!$G50</f>
        <v>1.7983E-8</v>
      </c>
      <c r="G41" s="6">
        <f>'Plan16 (2)'!$G50</f>
        <v>3.1935000000000001E-8</v>
      </c>
      <c r="H41" s="6">
        <f>'Plan17 (2)'!$G50</f>
        <v>1.3968999999999999E-8</v>
      </c>
      <c r="I41" s="6">
        <f>'Plan18 (2)'!$G50</f>
        <v>1.3375000000000001E-8</v>
      </c>
      <c r="J41" s="6">
        <f>'Plan19 (2)'!$G50</f>
        <v>1.7555999999999999E-8</v>
      </c>
      <c r="K41" s="6">
        <f>'Plan20 (2)'!$G50</f>
        <v>1.4565E-8</v>
      </c>
      <c r="L41" s="7">
        <f t="shared" si="2"/>
        <v>1.7344940000000002E-8</v>
      </c>
      <c r="M41" s="6">
        <f t="shared" si="0"/>
        <v>1.2188461550948657E-8</v>
      </c>
      <c r="N41" s="6">
        <f t="shared" si="1"/>
        <v>2.2501418449051346E-8</v>
      </c>
      <c r="O41" s="6">
        <f t="shared" si="3"/>
        <v>5.1564784490513449E-9</v>
      </c>
    </row>
    <row r="42" spans="1:15" x14ac:dyDescent="0.25">
      <c r="A42" s="9">
        <v>41</v>
      </c>
      <c r="B42" s="6">
        <f>'Plan11 (2)'!$G51</f>
        <v>6.5043000000000004E-9</v>
      </c>
      <c r="C42" s="6">
        <f>'Plan12 (2)'!$G51</f>
        <v>1.4E-8</v>
      </c>
      <c r="D42" s="6">
        <f>'Plan13 (2)'!$G51</f>
        <v>2.6969999999999999E-8</v>
      </c>
      <c r="E42" s="6">
        <f>'Plan14 (2)'!$G51</f>
        <v>1.6884000000000001E-8</v>
      </c>
      <c r="F42" s="6">
        <f>'Plan15 (2)'!$G51</f>
        <v>1.8043000000000001E-8</v>
      </c>
      <c r="G42" s="6">
        <f>'Plan16 (2)'!$G51</f>
        <v>3.2198000000000002E-8</v>
      </c>
      <c r="H42" s="6">
        <f>'Plan17 (2)'!$G51</f>
        <v>1.4192000000000001E-8</v>
      </c>
      <c r="I42" s="6">
        <f>'Plan18 (2)'!$G51</f>
        <v>1.3443E-8</v>
      </c>
      <c r="J42" s="6">
        <f>'Plan19 (2)'!$G51</f>
        <v>1.7575E-8</v>
      </c>
      <c r="K42" s="6">
        <f>'Plan20 (2)'!$G51</f>
        <v>1.4737E-8</v>
      </c>
      <c r="L42" s="7">
        <f t="shared" si="2"/>
        <v>1.7454630000000001E-8</v>
      </c>
      <c r="M42" s="6">
        <f t="shared" si="0"/>
        <v>1.2260072888150109E-8</v>
      </c>
      <c r="N42" s="6">
        <f t="shared" si="1"/>
        <v>2.2649187111849893E-8</v>
      </c>
      <c r="O42" s="6">
        <f t="shared" si="3"/>
        <v>5.1945571118498931E-9</v>
      </c>
    </row>
    <row r="43" spans="1:15" x14ac:dyDescent="0.25">
      <c r="A43" s="9">
        <v>42</v>
      </c>
      <c r="B43" s="6">
        <f>'Plan11 (2)'!$G52</f>
        <v>6.5009999999999998E-9</v>
      </c>
      <c r="C43" s="6">
        <f>'Plan12 (2)'!$G52</f>
        <v>1.4092999999999999E-8</v>
      </c>
      <c r="D43" s="6">
        <f>'Plan13 (2)'!$G52</f>
        <v>2.7068999999999999E-8</v>
      </c>
      <c r="E43" s="6">
        <f>'Plan14 (2)'!$G52</f>
        <v>1.7033999999999999E-8</v>
      </c>
      <c r="F43" s="6">
        <f>'Plan15 (2)'!$G52</f>
        <v>1.8066999999999999E-8</v>
      </c>
      <c r="G43" s="6">
        <f>'Plan16 (2)'!$G52</f>
        <v>3.2467000000000002E-8</v>
      </c>
      <c r="H43" s="6">
        <f>'Plan17 (2)'!$G52</f>
        <v>1.4434E-8</v>
      </c>
      <c r="I43" s="6">
        <f>'Plan18 (2)'!$G52</f>
        <v>1.3513E-8</v>
      </c>
      <c r="J43" s="6">
        <f>'Plan19 (2)'!$G52</f>
        <v>1.7622999999999998E-8</v>
      </c>
      <c r="K43" s="6">
        <f>'Plan20 (2)'!$G52</f>
        <v>1.4925E-8</v>
      </c>
      <c r="L43" s="7">
        <f t="shared" si="2"/>
        <v>1.7572599999999999E-8</v>
      </c>
      <c r="M43" s="6">
        <f t="shared" si="0"/>
        <v>1.234515817870092E-8</v>
      </c>
      <c r="N43" s="6">
        <f t="shared" si="1"/>
        <v>2.2800041821299079E-8</v>
      </c>
      <c r="O43" s="6">
        <f t="shared" si="3"/>
        <v>5.2274418212990807E-9</v>
      </c>
    </row>
    <row r="44" spans="1:15" x14ac:dyDescent="0.25">
      <c r="A44" s="9">
        <v>43</v>
      </c>
      <c r="B44" s="6">
        <f>'Plan11 (2)'!$G53</f>
        <v>6.4201999999999998E-9</v>
      </c>
      <c r="C44" s="6">
        <f>'Plan12 (2)'!$G53</f>
        <v>1.4173000000000001E-8</v>
      </c>
      <c r="D44" s="6">
        <f>'Plan13 (2)'!$G53</f>
        <v>2.7201E-8</v>
      </c>
      <c r="E44" s="6">
        <f>'Plan14 (2)'!$G53</f>
        <v>1.7179999999999999E-8</v>
      </c>
      <c r="F44" s="6">
        <f>'Plan15 (2)'!$G53</f>
        <v>1.81E-8</v>
      </c>
      <c r="G44" s="6">
        <f>'Plan16 (2)'!$G53</f>
        <v>3.2712000000000002E-8</v>
      </c>
      <c r="H44" s="6">
        <f>'Plan17 (2)'!$G53</f>
        <v>1.4659000000000001E-8</v>
      </c>
      <c r="I44" s="6">
        <f>'Plan18 (2)'!$G53</f>
        <v>1.3612999999999999E-8</v>
      </c>
      <c r="J44" s="6">
        <f>'Plan19 (2)'!$G53</f>
        <v>1.7675000000000001E-8</v>
      </c>
      <c r="K44" s="6">
        <f>'Plan20 (2)'!$G53</f>
        <v>1.5075000000000001E-8</v>
      </c>
      <c r="L44" s="7">
        <f t="shared" si="2"/>
        <v>1.768082E-8</v>
      </c>
      <c r="M44" s="6">
        <f t="shared" si="0"/>
        <v>1.2410150323017162E-8</v>
      </c>
      <c r="N44" s="6">
        <f t="shared" si="1"/>
        <v>2.2951489676982836E-8</v>
      </c>
      <c r="O44" s="6">
        <f t="shared" si="3"/>
        <v>5.2706696769828378E-9</v>
      </c>
    </row>
    <row r="45" spans="1:15" x14ac:dyDescent="0.25">
      <c r="A45" s="9">
        <v>44</v>
      </c>
      <c r="B45" s="6">
        <f>'Plan11 (2)'!$G54</f>
        <v>6.3776999999999996E-9</v>
      </c>
      <c r="C45" s="6">
        <f>'Plan12 (2)'!$G54</f>
        <v>1.4228E-8</v>
      </c>
      <c r="D45" s="6">
        <f>'Plan13 (2)'!$G54</f>
        <v>2.7289E-8</v>
      </c>
      <c r="E45" s="6">
        <f>'Plan14 (2)'!$G54</f>
        <v>1.7313999999999999E-8</v>
      </c>
      <c r="F45" s="6">
        <f>'Plan15 (2)'!$G54</f>
        <v>1.8101000000000001E-8</v>
      </c>
      <c r="G45" s="6">
        <f>'Plan16 (2)'!$G54</f>
        <v>3.2932E-8</v>
      </c>
      <c r="H45" s="6">
        <f>'Plan17 (2)'!$G54</f>
        <v>1.4851E-8</v>
      </c>
      <c r="I45" s="6">
        <f>'Plan18 (2)'!$G54</f>
        <v>1.3716E-8</v>
      </c>
      <c r="J45" s="6">
        <f>'Plan19 (2)'!$G54</f>
        <v>1.7722000000000001E-8</v>
      </c>
      <c r="K45" s="6">
        <f>'Plan20 (2)'!$G54</f>
        <v>1.5253000000000001E-8</v>
      </c>
      <c r="L45" s="7">
        <f t="shared" si="2"/>
        <v>1.7778370000000001E-8</v>
      </c>
      <c r="M45" s="6">
        <f t="shared" si="0"/>
        <v>1.2476155129044465E-8</v>
      </c>
      <c r="N45" s="6">
        <f t="shared" si="1"/>
        <v>2.3080584870955536E-8</v>
      </c>
      <c r="O45" s="6">
        <f t="shared" si="3"/>
        <v>5.3022148709555347E-9</v>
      </c>
    </row>
    <row r="46" spans="1:15" x14ac:dyDescent="0.25">
      <c r="A46" s="9">
        <v>45</v>
      </c>
      <c r="B46" s="6">
        <f>'Plan11 (2)'!$G55</f>
        <v>6.3925E-9</v>
      </c>
      <c r="C46" s="6">
        <f>'Plan12 (2)'!$G55</f>
        <v>1.431E-8</v>
      </c>
      <c r="D46" s="6">
        <f>'Plan13 (2)'!$G55</f>
        <v>2.7417E-8</v>
      </c>
      <c r="E46" s="6">
        <f>'Plan14 (2)'!$G55</f>
        <v>1.7461E-8</v>
      </c>
      <c r="F46" s="6">
        <f>'Plan15 (2)'!$G55</f>
        <v>1.8127000000000001E-8</v>
      </c>
      <c r="G46" s="6">
        <f>'Plan16 (2)'!$G55</f>
        <v>3.3140999999999999E-8</v>
      </c>
      <c r="H46" s="6">
        <f>'Plan17 (2)'!$G55</f>
        <v>1.5052000000000001E-8</v>
      </c>
      <c r="I46" s="6">
        <f>'Plan18 (2)'!$G55</f>
        <v>1.3821E-8</v>
      </c>
      <c r="J46" s="6">
        <f>'Plan19 (2)'!$G55</f>
        <v>1.7760999999999999E-8</v>
      </c>
      <c r="K46" s="6">
        <f>'Plan20 (2)'!$G55</f>
        <v>1.541E-8</v>
      </c>
      <c r="L46" s="7">
        <f t="shared" si="2"/>
        <v>1.7889249999999999E-8</v>
      </c>
      <c r="M46" s="6">
        <f t="shared" si="0"/>
        <v>1.2560580535342598E-8</v>
      </c>
      <c r="N46" s="6">
        <f t="shared" si="1"/>
        <v>2.32179194646574E-8</v>
      </c>
      <c r="O46" s="6">
        <f t="shared" si="3"/>
        <v>5.328669464657402E-9</v>
      </c>
    </row>
    <row r="47" spans="1:15" x14ac:dyDescent="0.25">
      <c r="A47" s="9">
        <v>46</v>
      </c>
      <c r="B47" s="6">
        <f>'Plan11 (2)'!$G56</f>
        <v>6.3181000000000003E-9</v>
      </c>
      <c r="C47" s="6">
        <f>'Plan12 (2)'!$G56</f>
        <v>1.4368999999999999E-8</v>
      </c>
      <c r="D47" s="6">
        <f>'Plan13 (2)'!$G56</f>
        <v>2.7543000000000001E-8</v>
      </c>
      <c r="E47" s="6">
        <f>'Plan14 (2)'!$G56</f>
        <v>1.7614000000000001E-8</v>
      </c>
      <c r="F47" s="6">
        <f>'Plan15 (2)'!$G56</f>
        <v>1.8167E-8</v>
      </c>
      <c r="G47" s="6">
        <f>'Plan16 (2)'!$G56</f>
        <v>3.3319000000000002E-8</v>
      </c>
      <c r="H47" s="6">
        <f>'Plan17 (2)'!$G56</f>
        <v>1.5230000000000001E-8</v>
      </c>
      <c r="I47" s="6">
        <f>'Plan18 (2)'!$G56</f>
        <v>1.3968E-8</v>
      </c>
      <c r="J47" s="6">
        <f>'Plan19 (2)'!$G56</f>
        <v>1.7783000000000001E-8</v>
      </c>
      <c r="K47" s="6">
        <f>'Plan20 (2)'!$G56</f>
        <v>1.5605E-8</v>
      </c>
      <c r="L47" s="7">
        <f t="shared" si="2"/>
        <v>1.7991610000000001E-8</v>
      </c>
      <c r="M47" s="6">
        <f t="shared" si="0"/>
        <v>1.2631571516655044E-8</v>
      </c>
      <c r="N47" s="6">
        <f t="shared" si="1"/>
        <v>2.3351648483344958E-8</v>
      </c>
      <c r="O47" s="6">
        <f t="shared" si="3"/>
        <v>5.3600384833449561E-9</v>
      </c>
    </row>
    <row r="48" spans="1:15" x14ac:dyDescent="0.25">
      <c r="A48" s="9">
        <v>47</v>
      </c>
      <c r="B48" s="6">
        <f>'Plan11 (2)'!$G57</f>
        <v>6.3229999999999998E-9</v>
      </c>
      <c r="C48" s="6">
        <f>'Plan12 (2)'!$G57</f>
        <v>1.4429999999999999E-8</v>
      </c>
      <c r="D48" s="6">
        <f>'Plan13 (2)'!$G57</f>
        <v>2.7649000000000002E-8</v>
      </c>
      <c r="E48" s="6">
        <f>'Plan14 (2)'!$G57</f>
        <v>1.7754999999999999E-8</v>
      </c>
      <c r="F48" s="6">
        <f>'Plan15 (2)'!$G57</f>
        <v>1.8211E-8</v>
      </c>
      <c r="G48" s="6">
        <f>'Plan16 (2)'!$G57</f>
        <v>3.3467999999999999E-8</v>
      </c>
      <c r="H48" s="6">
        <f>'Plan17 (2)'!$G57</f>
        <v>1.5399000000000001E-8</v>
      </c>
      <c r="I48" s="6">
        <f>'Plan18 (2)'!$G57</f>
        <v>1.4073E-8</v>
      </c>
      <c r="J48" s="6">
        <f>'Plan19 (2)'!$G57</f>
        <v>1.7814E-8</v>
      </c>
      <c r="K48" s="6">
        <f>'Plan20 (2)'!$G57</f>
        <v>1.5790999999999999E-8</v>
      </c>
      <c r="L48" s="7">
        <f t="shared" si="2"/>
        <v>1.8091299999999996E-8</v>
      </c>
      <c r="M48" s="6">
        <f t="shared" si="0"/>
        <v>1.2713783182084592E-8</v>
      </c>
      <c r="N48" s="6">
        <f t="shared" si="1"/>
        <v>2.34688168179154E-8</v>
      </c>
      <c r="O48" s="6">
        <f t="shared" si="3"/>
        <v>5.3775168179154037E-9</v>
      </c>
    </row>
    <row r="49" spans="1:15" x14ac:dyDescent="0.25">
      <c r="A49" s="9">
        <v>48</v>
      </c>
      <c r="B49" s="6">
        <f>'Plan11 (2)'!$G58</f>
        <v>6.3436000000000003E-9</v>
      </c>
      <c r="C49" s="6">
        <f>'Plan12 (2)'!$G58</f>
        <v>1.4477E-8</v>
      </c>
      <c r="D49" s="6">
        <f>'Plan13 (2)'!$G58</f>
        <v>2.7796E-8</v>
      </c>
      <c r="E49" s="6">
        <f>'Plan14 (2)'!$G58</f>
        <v>1.7913E-8</v>
      </c>
      <c r="F49" s="6">
        <f>'Plan15 (2)'!$G58</f>
        <v>1.8243E-8</v>
      </c>
      <c r="G49" s="6">
        <f>'Plan16 (2)'!$G58</f>
        <v>3.3607999999999999E-8</v>
      </c>
      <c r="H49" s="6">
        <f>'Plan17 (2)'!$G58</f>
        <v>1.5609000000000001E-8</v>
      </c>
      <c r="I49" s="6">
        <f>'Plan18 (2)'!$G58</f>
        <v>1.4183E-8</v>
      </c>
      <c r="J49" s="6">
        <f>'Plan19 (2)'!$G58</f>
        <v>1.7821999999999999E-8</v>
      </c>
      <c r="K49" s="6">
        <f>'Plan20 (2)'!$G58</f>
        <v>1.5964E-8</v>
      </c>
      <c r="L49" s="7">
        <f t="shared" si="2"/>
        <v>1.8195859999999998E-8</v>
      </c>
      <c r="M49" s="6">
        <f t="shared" si="0"/>
        <v>1.2800295973493855E-8</v>
      </c>
      <c r="N49" s="6">
        <f t="shared" si="1"/>
        <v>2.3591424026506141E-8</v>
      </c>
      <c r="O49" s="6">
        <f t="shared" si="3"/>
        <v>5.3955640265061432E-9</v>
      </c>
    </row>
    <row r="50" spans="1:15" x14ac:dyDescent="0.25">
      <c r="A50" s="9">
        <v>49</v>
      </c>
      <c r="B50" s="6">
        <f>'Plan11 (2)'!$G59</f>
        <v>6.3006000000000003E-9</v>
      </c>
      <c r="C50" s="6">
        <f>'Plan12 (2)'!$G59</f>
        <v>1.4501E-8</v>
      </c>
      <c r="D50" s="6">
        <f>'Plan13 (2)'!$G59</f>
        <v>2.7937000000000001E-8</v>
      </c>
      <c r="E50" s="6">
        <f>'Plan14 (2)'!$G59</f>
        <v>1.8065E-8</v>
      </c>
      <c r="F50" s="6">
        <f>'Plan15 (2)'!$G59</f>
        <v>1.829E-8</v>
      </c>
      <c r="G50" s="6">
        <f>'Plan16 (2)'!$G59</f>
        <v>3.3728000000000003E-8</v>
      </c>
      <c r="H50" s="6">
        <f>'Plan17 (2)'!$G59</f>
        <v>1.5801E-8</v>
      </c>
      <c r="I50" s="6">
        <f>'Plan18 (2)'!$G59</f>
        <v>1.432E-8</v>
      </c>
      <c r="J50" s="6">
        <f>'Plan19 (2)'!$G59</f>
        <v>1.7835999999999998E-8</v>
      </c>
      <c r="K50" s="6">
        <f>'Plan20 (2)'!$G59</f>
        <v>1.6123999999999999E-8</v>
      </c>
      <c r="L50" s="7">
        <f t="shared" si="2"/>
        <v>1.829026E-8</v>
      </c>
      <c r="M50" s="6">
        <f t="shared" si="0"/>
        <v>1.287155012074737E-8</v>
      </c>
      <c r="N50" s="6">
        <f t="shared" si="1"/>
        <v>2.3708969879252629E-8</v>
      </c>
      <c r="O50" s="6">
        <f t="shared" si="3"/>
        <v>5.41870987925263E-9</v>
      </c>
    </row>
    <row r="51" spans="1:15" x14ac:dyDescent="0.25">
      <c r="A51" s="10">
        <v>50</v>
      </c>
      <c r="B51" s="6">
        <f>'Plan11 (2)'!$G60</f>
        <v>6.3549E-9</v>
      </c>
      <c r="C51" s="6">
        <f>'Plan12 (2)'!$G60</f>
        <v>1.4510000000000001E-8</v>
      </c>
      <c r="D51" s="6">
        <f>'Plan13 (2)'!$G60</f>
        <v>2.8068E-8</v>
      </c>
      <c r="E51" s="6">
        <f>'Plan14 (2)'!$G60</f>
        <v>1.8209000000000001E-8</v>
      </c>
      <c r="F51" s="6">
        <f>'Plan15 (2)'!$G60</f>
        <v>1.8346999999999999E-8</v>
      </c>
      <c r="G51" s="6">
        <f>'Plan16 (2)'!$G60</f>
        <v>3.3833999999999997E-8</v>
      </c>
      <c r="H51" s="6">
        <f>'Plan17 (2)'!$G60</f>
        <v>1.5980999999999999E-8</v>
      </c>
      <c r="I51" s="6">
        <f>'Plan18 (2)'!$G60</f>
        <v>1.4399E-8</v>
      </c>
      <c r="J51" s="6">
        <f>'Plan19 (2)'!$G60</f>
        <v>1.7841000000000001E-8</v>
      </c>
      <c r="K51" s="6">
        <f>'Plan20 (2)'!$G60</f>
        <v>1.6277999999999999E-8</v>
      </c>
      <c r="L51" s="7">
        <f t="shared" si="2"/>
        <v>1.838219E-8</v>
      </c>
      <c r="M51" s="6">
        <f t="shared" si="0"/>
        <v>1.295193336990405E-8</v>
      </c>
      <c r="N51" s="6">
        <f t="shared" si="1"/>
        <v>2.3812446630095949E-8</v>
      </c>
      <c r="O51" s="6">
        <f t="shared" si="3"/>
        <v>5.4302566300959504E-9</v>
      </c>
    </row>
    <row r="52" spans="1:15" x14ac:dyDescent="0.25">
      <c r="A52" s="9">
        <v>51</v>
      </c>
      <c r="B52" s="6">
        <f>'Plan11 (2)'!$G61</f>
        <v>6.3698000000000001E-9</v>
      </c>
      <c r="C52" s="6">
        <f>'Plan12 (2)'!$G61</f>
        <v>1.4571E-8</v>
      </c>
      <c r="D52" s="6">
        <f>'Plan13 (2)'!$G61</f>
        <v>2.8223000000000001E-8</v>
      </c>
      <c r="E52" s="6">
        <f>'Plan14 (2)'!$G61</f>
        <v>1.8346000000000001E-8</v>
      </c>
      <c r="F52" s="6">
        <f>'Plan15 (2)'!$G61</f>
        <v>1.8412E-8</v>
      </c>
      <c r="G52" s="6">
        <f>'Plan16 (2)'!$G61</f>
        <v>3.3934999999999999E-8</v>
      </c>
      <c r="H52" s="6">
        <f>'Plan17 (2)'!$G61</f>
        <v>1.6166000000000001E-8</v>
      </c>
      <c r="I52" s="6">
        <f>'Plan18 (2)'!$G61</f>
        <v>1.4492999999999999E-8</v>
      </c>
      <c r="J52" s="6">
        <f>'Plan19 (2)'!$G61</f>
        <v>1.7853999999999999E-8</v>
      </c>
      <c r="K52" s="6">
        <f>'Plan20 (2)'!$G61</f>
        <v>1.6423000000000001E-8</v>
      </c>
      <c r="L52" s="7">
        <f t="shared" si="2"/>
        <v>1.8479279999999999E-8</v>
      </c>
      <c r="M52" s="6">
        <f t="shared" si="0"/>
        <v>1.3033284356070287E-8</v>
      </c>
      <c r="N52" s="6">
        <f t="shared" si="1"/>
        <v>2.3925275643929712E-8</v>
      </c>
      <c r="O52" s="6">
        <f t="shared" si="3"/>
        <v>5.4459956439297118E-9</v>
      </c>
    </row>
    <row r="53" spans="1:15" x14ac:dyDescent="0.25">
      <c r="A53" s="9">
        <v>52</v>
      </c>
      <c r="B53" s="6">
        <f>'Plan11 (2)'!$G62</f>
        <v>6.3544999999999999E-9</v>
      </c>
      <c r="C53" s="6">
        <f>'Plan12 (2)'!$G62</f>
        <v>1.4637000000000001E-8</v>
      </c>
      <c r="D53" s="6">
        <f>'Plan13 (2)'!$G62</f>
        <v>2.8371E-8</v>
      </c>
      <c r="E53" s="6">
        <f>'Plan14 (2)'!$G62</f>
        <v>1.8457999999999999E-8</v>
      </c>
      <c r="F53" s="6">
        <f>'Plan15 (2)'!$G62</f>
        <v>1.8486999999999999E-8</v>
      </c>
      <c r="G53" s="6">
        <f>'Plan16 (2)'!$G62</f>
        <v>3.4018000000000001E-8</v>
      </c>
      <c r="H53" s="6">
        <f>'Plan17 (2)'!$G62</f>
        <v>1.6356000000000001E-8</v>
      </c>
      <c r="I53" s="6">
        <f>'Plan18 (2)'!$G62</f>
        <v>1.4558E-8</v>
      </c>
      <c r="J53" s="6">
        <f>'Plan19 (2)'!$G62</f>
        <v>1.7870999999999998E-8</v>
      </c>
      <c r="K53" s="6">
        <f>'Plan20 (2)'!$G62</f>
        <v>1.6546000000000001E-8</v>
      </c>
      <c r="L53" s="7">
        <f t="shared" si="2"/>
        <v>1.8565649999999997E-8</v>
      </c>
      <c r="M53" s="6">
        <f t="shared" si="0"/>
        <v>1.3102075524562746E-8</v>
      </c>
      <c r="N53" s="6">
        <f t="shared" si="1"/>
        <v>2.4029224475437246E-8</v>
      </c>
      <c r="O53" s="6">
        <f t="shared" si="3"/>
        <v>5.4635744754372507E-9</v>
      </c>
    </row>
    <row r="54" spans="1:15" x14ac:dyDescent="0.25">
      <c r="A54" s="9">
        <v>53</v>
      </c>
      <c r="B54" s="6">
        <f>'Plan11 (2)'!$G63</f>
        <v>6.4445000000000002E-9</v>
      </c>
      <c r="C54" s="6">
        <f>'Plan12 (2)'!$G63</f>
        <v>1.4715E-8</v>
      </c>
      <c r="D54" s="6">
        <f>'Plan13 (2)'!$G63</f>
        <v>2.8533999999999999E-8</v>
      </c>
      <c r="E54" s="6">
        <f>'Plan14 (2)'!$G63</f>
        <v>1.8550999999999998E-8</v>
      </c>
      <c r="F54" s="6">
        <f>'Plan15 (2)'!$G63</f>
        <v>1.8521999999999999E-8</v>
      </c>
      <c r="G54" s="6">
        <f>'Plan16 (2)'!$G63</f>
        <v>3.4093E-8</v>
      </c>
      <c r="H54" s="6">
        <f>'Plan17 (2)'!$G63</f>
        <v>1.6546000000000001E-8</v>
      </c>
      <c r="I54" s="6">
        <f>'Plan18 (2)'!$G63</f>
        <v>1.4648999999999999E-8</v>
      </c>
      <c r="J54" s="6">
        <f>'Plan19 (2)'!$G63</f>
        <v>1.7913E-8</v>
      </c>
      <c r="K54" s="6">
        <f>'Plan20 (2)'!$G63</f>
        <v>1.6648000000000001E-8</v>
      </c>
      <c r="L54" s="7">
        <f t="shared" si="2"/>
        <v>1.8661550000000001E-8</v>
      </c>
      <c r="M54" s="6">
        <f t="shared" si="0"/>
        <v>1.3194545376287648E-8</v>
      </c>
      <c r="N54" s="6">
        <f t="shared" si="1"/>
        <v>2.4128554623712354E-8</v>
      </c>
      <c r="O54" s="6">
        <f t="shared" si="3"/>
        <v>5.4670046237123541E-9</v>
      </c>
    </row>
    <row r="55" spans="1:15" x14ac:dyDescent="0.25">
      <c r="A55" s="9">
        <v>54</v>
      </c>
      <c r="B55" s="6">
        <f>'Plan11 (2)'!$G64</f>
        <v>6.4648000000000003E-9</v>
      </c>
      <c r="C55" s="6">
        <f>'Plan12 (2)'!$G64</f>
        <v>1.4799000000000001E-8</v>
      </c>
      <c r="D55" s="6">
        <f>'Plan13 (2)'!$G64</f>
        <v>2.8731000000000001E-8</v>
      </c>
      <c r="E55" s="6">
        <f>'Plan14 (2)'!$G64</f>
        <v>1.8628E-8</v>
      </c>
      <c r="F55" s="6">
        <f>'Plan15 (2)'!$G64</f>
        <v>1.8553999999999999E-8</v>
      </c>
      <c r="G55" s="6">
        <f>'Plan16 (2)'!$G64</f>
        <v>3.4154000000000003E-8</v>
      </c>
      <c r="H55" s="6">
        <f>'Plan17 (2)'!$G64</f>
        <v>1.6724000000000001E-8</v>
      </c>
      <c r="I55" s="6">
        <f>'Plan18 (2)'!$G64</f>
        <v>1.4756999999999999E-8</v>
      </c>
      <c r="J55" s="6">
        <f>'Plan19 (2)'!$G64</f>
        <v>1.7957E-8</v>
      </c>
      <c r="K55" s="6">
        <f>'Plan20 (2)'!$G64</f>
        <v>1.6755E-8</v>
      </c>
      <c r="L55" s="7">
        <f t="shared" si="2"/>
        <v>1.8752380000000003E-8</v>
      </c>
      <c r="M55" s="6">
        <f t="shared" si="0"/>
        <v>1.3272380032196358E-8</v>
      </c>
      <c r="N55" s="6">
        <f t="shared" si="1"/>
        <v>2.4232379967803649E-8</v>
      </c>
      <c r="O55" s="6">
        <f t="shared" si="3"/>
        <v>5.4799999678036458E-9</v>
      </c>
    </row>
    <row r="56" spans="1:15" x14ac:dyDescent="0.25">
      <c r="A56" s="9">
        <v>55</v>
      </c>
      <c r="B56" s="6">
        <f>'Plan11 (2)'!$G65</f>
        <v>6.5041000000000003E-9</v>
      </c>
      <c r="C56" s="6">
        <f>'Plan12 (2)'!$G65</f>
        <v>1.4858E-8</v>
      </c>
      <c r="D56" s="6">
        <f>'Plan13 (2)'!$G65</f>
        <v>2.8909999999999999E-8</v>
      </c>
      <c r="E56" s="6">
        <f>'Plan14 (2)'!$G65</f>
        <v>1.8688999999999999E-8</v>
      </c>
      <c r="F56" s="6">
        <f>'Plan15 (2)'!$G65</f>
        <v>1.8568000000000001E-8</v>
      </c>
      <c r="G56" s="6">
        <f>'Plan16 (2)'!$G65</f>
        <v>3.4185999999999999E-8</v>
      </c>
      <c r="H56" s="6">
        <f>'Plan17 (2)'!$G65</f>
        <v>1.6905999999999999E-8</v>
      </c>
      <c r="I56" s="6">
        <f>'Plan18 (2)'!$G65</f>
        <v>1.4815000000000001E-8</v>
      </c>
      <c r="J56" s="6">
        <f>'Plan19 (2)'!$G65</f>
        <v>1.7987999999999999E-8</v>
      </c>
      <c r="K56" s="6">
        <f>'Plan20 (2)'!$G65</f>
        <v>1.6867000000000001E-8</v>
      </c>
      <c r="L56" s="7">
        <f t="shared" si="2"/>
        <v>1.8829109999999998E-8</v>
      </c>
      <c r="M56" s="6">
        <f t="shared" si="0"/>
        <v>1.3341646481876552E-8</v>
      </c>
      <c r="N56" s="6">
        <f t="shared" si="1"/>
        <v>2.4316573518123445E-8</v>
      </c>
      <c r="O56" s="6">
        <f t="shared" si="3"/>
        <v>5.4874635181234473E-9</v>
      </c>
    </row>
    <row r="57" spans="1:15" x14ac:dyDescent="0.25">
      <c r="A57" s="9">
        <v>56</v>
      </c>
      <c r="B57" s="6">
        <f>'Plan11 (2)'!$G66</f>
        <v>6.6117000000000002E-9</v>
      </c>
      <c r="C57" s="6">
        <f>'Plan12 (2)'!$G66</f>
        <v>1.4953000000000002E-8</v>
      </c>
      <c r="D57" s="6">
        <f>'Plan13 (2)'!$G66</f>
        <v>2.9112E-8</v>
      </c>
      <c r="E57" s="6">
        <f>'Plan14 (2)'!$G66</f>
        <v>1.8746000000000001E-8</v>
      </c>
      <c r="F57" s="6">
        <f>'Plan15 (2)'!$G66</f>
        <v>1.8550999999999998E-8</v>
      </c>
      <c r="G57" s="6">
        <f>'Plan16 (2)'!$G66</f>
        <v>3.4224000000000003E-8</v>
      </c>
      <c r="H57" s="6">
        <f>'Plan17 (2)'!$G66</f>
        <v>1.7093E-8</v>
      </c>
      <c r="I57" s="6">
        <f>'Plan18 (2)'!$G66</f>
        <v>1.4887E-8</v>
      </c>
      <c r="J57" s="6">
        <f>'Plan19 (2)'!$G66</f>
        <v>1.8031999999999999E-8</v>
      </c>
      <c r="K57" s="6">
        <f>'Plan20 (2)'!$G66</f>
        <v>1.6980000000000001E-8</v>
      </c>
      <c r="L57" s="7">
        <f t="shared" si="2"/>
        <v>1.8918970000000003E-8</v>
      </c>
      <c r="M57" s="6">
        <f t="shared" si="0"/>
        <v>1.3431239029929638E-8</v>
      </c>
      <c r="N57" s="6">
        <f t="shared" si="1"/>
        <v>2.4406700970070368E-8</v>
      </c>
      <c r="O57" s="6">
        <f t="shared" si="3"/>
        <v>5.4877309700703658E-9</v>
      </c>
    </row>
    <row r="58" spans="1:15" x14ac:dyDescent="0.25">
      <c r="A58" s="9">
        <v>57</v>
      </c>
      <c r="B58" s="6">
        <f>'Plan11 (2)'!$G67</f>
        <v>6.6352000000000004E-9</v>
      </c>
      <c r="C58" s="6">
        <f>'Plan12 (2)'!$G67</f>
        <v>1.5058000000000002E-8</v>
      </c>
      <c r="D58" s="6">
        <f>'Plan13 (2)'!$G67</f>
        <v>2.9323000000000001E-8</v>
      </c>
      <c r="E58" s="6">
        <f>'Plan14 (2)'!$G67</f>
        <v>1.8784000000000001E-8</v>
      </c>
      <c r="F58" s="6">
        <f>'Plan15 (2)'!$G67</f>
        <v>1.8523E-8</v>
      </c>
      <c r="G58" s="6">
        <f>'Plan16 (2)'!$G67</f>
        <v>3.4253000000000002E-8</v>
      </c>
      <c r="H58" s="6">
        <f>'Plan17 (2)'!$G67</f>
        <v>1.7289E-8</v>
      </c>
      <c r="I58" s="6">
        <f>'Plan18 (2)'!$G67</f>
        <v>1.4961000000000001E-8</v>
      </c>
      <c r="J58" s="6">
        <f>'Plan19 (2)'!$G67</f>
        <v>1.8078999999999999E-8</v>
      </c>
      <c r="K58" s="6">
        <f>'Plan20 (2)'!$G67</f>
        <v>1.709E-8</v>
      </c>
      <c r="L58" s="7">
        <f t="shared" si="2"/>
        <v>1.8999519999999997E-8</v>
      </c>
      <c r="M58" s="6">
        <f t="shared" si="0"/>
        <v>1.3501358266190744E-8</v>
      </c>
      <c r="N58" s="6">
        <f t="shared" si="1"/>
        <v>2.4497681733809252E-8</v>
      </c>
      <c r="O58" s="6">
        <f t="shared" si="3"/>
        <v>5.4981617338092532E-9</v>
      </c>
    </row>
    <row r="59" spans="1:15" x14ac:dyDescent="0.25">
      <c r="A59" s="9">
        <v>58</v>
      </c>
      <c r="B59" s="6">
        <f>'Plan11 (2)'!$G68</f>
        <v>6.6532000000000001E-9</v>
      </c>
      <c r="C59" s="6">
        <f>'Plan12 (2)'!$G68</f>
        <v>1.5148000000000001E-8</v>
      </c>
      <c r="D59" s="6">
        <f>'Plan13 (2)'!$G68</f>
        <v>2.9495E-8</v>
      </c>
      <c r="E59" s="6">
        <f>'Plan14 (2)'!$G68</f>
        <v>1.8819999999999999E-8</v>
      </c>
      <c r="F59" s="6">
        <f>'Plan15 (2)'!$G68</f>
        <v>1.8491E-8</v>
      </c>
      <c r="G59" s="6">
        <f>'Plan16 (2)'!$G68</f>
        <v>3.4284999999999999E-8</v>
      </c>
      <c r="H59" s="6">
        <f>'Plan17 (2)'!$G68</f>
        <v>1.7485000000000001E-8</v>
      </c>
      <c r="I59" s="6">
        <f>'Plan18 (2)'!$G68</f>
        <v>1.5011000000000001E-8</v>
      </c>
      <c r="J59" s="6">
        <f>'Plan19 (2)'!$G68</f>
        <v>1.8139999999999999E-8</v>
      </c>
      <c r="K59" s="6">
        <f>'Plan20 (2)'!$G68</f>
        <v>1.7231000000000001E-8</v>
      </c>
      <c r="L59" s="7">
        <f t="shared" si="2"/>
        <v>1.9075919999999999E-8</v>
      </c>
      <c r="M59" s="6">
        <f t="shared" si="0"/>
        <v>1.3568922169415707E-8</v>
      </c>
      <c r="N59" s="6">
        <f t="shared" si="1"/>
        <v>2.4582917830584291E-8</v>
      </c>
      <c r="O59" s="6">
        <f t="shared" si="3"/>
        <v>5.5069978305842912E-9</v>
      </c>
    </row>
    <row r="60" spans="1:15" x14ac:dyDescent="0.25">
      <c r="A60" s="9">
        <v>59</v>
      </c>
      <c r="B60" s="6">
        <f>'Plan11 (2)'!$G69</f>
        <v>6.7113999999999998E-9</v>
      </c>
      <c r="C60" s="6">
        <f>'Plan12 (2)'!$G69</f>
        <v>1.5268000000000001E-8</v>
      </c>
      <c r="D60" s="6">
        <f>'Plan13 (2)'!$G69</f>
        <v>2.9662000000000001E-8</v>
      </c>
      <c r="E60" s="6">
        <f>'Plan14 (2)'!$G69</f>
        <v>1.8856E-8</v>
      </c>
      <c r="F60" s="6">
        <f>'Plan15 (2)'!$G69</f>
        <v>1.8504999999999999E-8</v>
      </c>
      <c r="G60" s="6">
        <f>'Plan16 (2)'!$G69</f>
        <v>3.4324999999999998E-8</v>
      </c>
      <c r="H60" s="6">
        <f>'Plan17 (2)'!$G69</f>
        <v>1.7662E-8</v>
      </c>
      <c r="I60" s="6">
        <f>'Plan18 (2)'!$G69</f>
        <v>1.5078000000000001E-8</v>
      </c>
      <c r="J60" s="6">
        <f>'Plan19 (2)'!$G69</f>
        <v>1.8191999999999998E-8</v>
      </c>
      <c r="K60" s="6">
        <f>'Plan20 (2)'!$G69</f>
        <v>1.7353E-8</v>
      </c>
      <c r="L60" s="7">
        <f t="shared" si="2"/>
        <v>1.9161239999999999E-8</v>
      </c>
      <c r="M60" s="6">
        <f t="shared" si="0"/>
        <v>1.3650902090085667E-8</v>
      </c>
      <c r="N60" s="6">
        <f t="shared" si="1"/>
        <v>2.4671577909914329E-8</v>
      </c>
      <c r="O60" s="6">
        <f t="shared" si="3"/>
        <v>5.5103379099143316E-9</v>
      </c>
    </row>
    <row r="61" spans="1:15" x14ac:dyDescent="0.25">
      <c r="A61" s="10">
        <v>60</v>
      </c>
      <c r="B61" s="6">
        <f>'Plan11 (2)'!$G70</f>
        <v>6.7249000000000002E-9</v>
      </c>
      <c r="C61" s="6">
        <f>'Plan12 (2)'!$G70</f>
        <v>1.5361999999999999E-8</v>
      </c>
      <c r="D61" s="6">
        <f>'Plan13 (2)'!$G70</f>
        <v>2.9825999999999999E-8</v>
      </c>
      <c r="E61" s="6">
        <f>'Plan14 (2)'!$G70</f>
        <v>1.8898000000000002E-8</v>
      </c>
      <c r="F61" s="6">
        <f>'Plan15 (2)'!$G70</f>
        <v>1.8523E-8</v>
      </c>
      <c r="G61" s="6">
        <f>'Plan16 (2)'!$G70</f>
        <v>3.4358000000000002E-8</v>
      </c>
      <c r="H61" s="6">
        <f>'Plan17 (2)'!$G70</f>
        <v>1.7838999999999998E-8</v>
      </c>
      <c r="I61" s="6">
        <f>'Plan18 (2)'!$G70</f>
        <v>1.5128999999999999E-8</v>
      </c>
      <c r="J61" s="6">
        <f>'Plan19 (2)'!$G70</f>
        <v>1.8218000000000001E-8</v>
      </c>
      <c r="K61" s="6">
        <f>'Plan20 (2)'!$G70</f>
        <v>1.7477999999999999E-8</v>
      </c>
      <c r="L61" s="7">
        <f t="shared" si="2"/>
        <v>1.9235590000000003E-8</v>
      </c>
      <c r="M61" s="6">
        <f t="shared" si="0"/>
        <v>1.3715395824535465E-8</v>
      </c>
      <c r="N61" s="6">
        <f t="shared" si="1"/>
        <v>2.475578417546454E-8</v>
      </c>
      <c r="O61" s="6">
        <f t="shared" si="3"/>
        <v>5.5201941754645383E-9</v>
      </c>
    </row>
    <row r="62" spans="1:15" x14ac:dyDescent="0.25">
      <c r="A62" s="9">
        <v>61</v>
      </c>
      <c r="B62" s="6">
        <f>'Plan11 (2)'!$G71</f>
        <v>6.7433999999999997E-9</v>
      </c>
      <c r="C62" s="6">
        <f>'Plan12 (2)'!$G71</f>
        <v>1.5440000000000001E-8</v>
      </c>
      <c r="D62" s="6">
        <f>'Plan13 (2)'!$G71</f>
        <v>2.9960999999999999E-8</v>
      </c>
      <c r="E62" s="6">
        <f>'Plan14 (2)'!$G71</f>
        <v>1.8927000000000001E-8</v>
      </c>
      <c r="F62" s="6">
        <f>'Plan15 (2)'!$G71</f>
        <v>1.8547999999999998E-8</v>
      </c>
      <c r="G62" s="6">
        <f>'Plan16 (2)'!$G71</f>
        <v>3.4379E-8</v>
      </c>
      <c r="H62" s="6">
        <f>'Plan17 (2)'!$G71</f>
        <v>1.8022999999999999E-8</v>
      </c>
      <c r="I62" s="6">
        <f>'Plan18 (2)'!$G71</f>
        <v>1.5198000000000001E-8</v>
      </c>
      <c r="J62" s="6">
        <f>'Plan19 (2)'!$G71</f>
        <v>1.8259999999999999E-8</v>
      </c>
      <c r="K62" s="6">
        <f>'Plan20 (2)'!$G71</f>
        <v>1.7584E-8</v>
      </c>
      <c r="L62" s="7">
        <f t="shared" si="2"/>
        <v>1.9306340000000003E-8</v>
      </c>
      <c r="M62" s="6">
        <f t="shared" si="0"/>
        <v>1.3781710532125792E-8</v>
      </c>
      <c r="N62" s="6">
        <f t="shared" si="1"/>
        <v>2.4830969467874215E-8</v>
      </c>
      <c r="O62" s="6">
        <f t="shared" si="3"/>
        <v>5.5246294678742109E-9</v>
      </c>
    </row>
    <row r="63" spans="1:15" x14ac:dyDescent="0.25">
      <c r="A63" s="9">
        <v>62</v>
      </c>
      <c r="B63" s="6">
        <f>'Plan11 (2)'!$G72</f>
        <v>6.7793000000000004E-9</v>
      </c>
      <c r="C63" s="6">
        <f>'Plan12 (2)'!$G72</f>
        <v>1.5524999999999998E-8</v>
      </c>
      <c r="D63" s="6">
        <f>'Plan13 (2)'!$G72</f>
        <v>3.0100999999999999E-8</v>
      </c>
      <c r="E63" s="6">
        <f>'Plan14 (2)'!$G72</f>
        <v>1.8941000000000001E-8</v>
      </c>
      <c r="F63" s="6">
        <f>'Plan15 (2)'!$G72</f>
        <v>1.8571000000000001E-8</v>
      </c>
      <c r="G63" s="6">
        <f>'Plan16 (2)'!$G72</f>
        <v>3.4400999999999998E-8</v>
      </c>
      <c r="H63" s="6">
        <f>'Plan17 (2)'!$G72</f>
        <v>1.8203000000000001E-8</v>
      </c>
      <c r="I63" s="6">
        <f>'Plan18 (2)'!$G72</f>
        <v>1.5296E-8</v>
      </c>
      <c r="J63" s="6">
        <f>'Plan19 (2)'!$G72</f>
        <v>1.8288999999999999E-8</v>
      </c>
      <c r="K63" s="6">
        <f>'Plan20 (2)'!$G72</f>
        <v>1.7683E-8</v>
      </c>
      <c r="L63" s="7">
        <f t="shared" si="2"/>
        <v>1.9378929999999999E-8</v>
      </c>
      <c r="M63" s="6">
        <f t="shared" si="0"/>
        <v>1.3852232085649277E-8</v>
      </c>
      <c r="N63" s="6">
        <f t="shared" si="1"/>
        <v>2.490562791435072E-8</v>
      </c>
      <c r="O63" s="6">
        <f t="shared" si="3"/>
        <v>5.5266979143507218E-9</v>
      </c>
    </row>
    <row r="64" spans="1:15" x14ac:dyDescent="0.25">
      <c r="A64" s="9">
        <v>63</v>
      </c>
      <c r="B64" s="6">
        <f>'Plan11 (2)'!$G73</f>
        <v>6.7471000000000004E-9</v>
      </c>
      <c r="C64" s="6">
        <f>'Plan12 (2)'!$G73</f>
        <v>1.5574000000000001E-8</v>
      </c>
      <c r="D64" s="6">
        <f>'Plan13 (2)'!$G73</f>
        <v>3.0214000000000002E-8</v>
      </c>
      <c r="E64" s="6">
        <f>'Plan14 (2)'!$G73</f>
        <v>1.897E-8</v>
      </c>
      <c r="F64" s="6">
        <f>'Plan15 (2)'!$G73</f>
        <v>1.8562000000000001E-8</v>
      </c>
      <c r="G64" s="6">
        <f>'Plan16 (2)'!$G73</f>
        <v>3.4411999999999997E-8</v>
      </c>
      <c r="H64" s="6">
        <f>'Plan17 (2)'!$G73</f>
        <v>1.8343000000000001E-8</v>
      </c>
      <c r="I64" s="6">
        <f>'Plan18 (2)'!$G73</f>
        <v>1.5381999999999998E-8</v>
      </c>
      <c r="J64" s="6">
        <f>'Plan19 (2)'!$G73</f>
        <v>1.8316E-8</v>
      </c>
      <c r="K64" s="6">
        <f>'Plan20 (2)'!$G73</f>
        <v>1.7777999999999999E-8</v>
      </c>
      <c r="L64" s="7">
        <f t="shared" si="2"/>
        <v>1.9429809999999998E-8</v>
      </c>
      <c r="M64" s="6">
        <f t="shared" si="0"/>
        <v>1.3893901310523726E-8</v>
      </c>
      <c r="N64" s="6">
        <f t="shared" si="1"/>
        <v>2.4965718689476272E-8</v>
      </c>
      <c r="O64" s="6">
        <f t="shared" si="3"/>
        <v>5.5359086894762722E-9</v>
      </c>
    </row>
    <row r="65" spans="1:15" x14ac:dyDescent="0.25">
      <c r="A65" s="9">
        <v>64</v>
      </c>
      <c r="B65" s="6">
        <f>'Plan11 (2)'!$G74</f>
        <v>6.7353000000000001E-9</v>
      </c>
      <c r="C65" s="6">
        <f>'Plan12 (2)'!$G74</f>
        <v>1.5612000000000001E-8</v>
      </c>
      <c r="D65" s="6">
        <f>'Plan13 (2)'!$G74</f>
        <v>3.0297999999999998E-8</v>
      </c>
      <c r="E65" s="6">
        <f>'Plan14 (2)'!$G74</f>
        <v>1.8973999999999998E-8</v>
      </c>
      <c r="F65" s="6">
        <f>'Plan15 (2)'!$G74</f>
        <v>1.8565999999999999E-8</v>
      </c>
      <c r="G65" s="6">
        <f>'Plan16 (2)'!$G74</f>
        <v>3.4410000000000002E-8</v>
      </c>
      <c r="H65" s="6">
        <f>'Plan17 (2)'!$G74</f>
        <v>1.8498000000000001E-8</v>
      </c>
      <c r="I65" s="6">
        <f>'Plan18 (2)'!$G74</f>
        <v>1.5481000000000001E-8</v>
      </c>
      <c r="J65" s="6">
        <f>'Plan19 (2)'!$G74</f>
        <v>1.8334999999999998E-8</v>
      </c>
      <c r="K65" s="6">
        <f>'Plan20 (2)'!$G74</f>
        <v>1.7847999999999999E-8</v>
      </c>
      <c r="L65" s="7">
        <f t="shared" si="2"/>
        <v>1.9475730000000002E-8</v>
      </c>
      <c r="M65" s="6">
        <f t="shared" si="0"/>
        <v>1.3937961617341841E-8</v>
      </c>
      <c r="N65" s="6">
        <f t="shared" si="1"/>
        <v>2.5013498382658162E-8</v>
      </c>
      <c r="O65" s="6">
        <f t="shared" si="3"/>
        <v>5.5377683826581596E-9</v>
      </c>
    </row>
    <row r="66" spans="1:15" x14ac:dyDescent="0.25">
      <c r="A66" s="9">
        <v>65</v>
      </c>
      <c r="B66" s="6">
        <f>'Plan11 (2)'!$G75</f>
        <v>6.7271000000000001E-9</v>
      </c>
      <c r="C66" s="6">
        <f>'Plan12 (2)'!$G75</f>
        <v>1.5676000000000001E-8</v>
      </c>
      <c r="D66" s="6">
        <f>'Plan13 (2)'!$G75</f>
        <v>3.0366000000000002E-8</v>
      </c>
      <c r="E66" s="6">
        <f>'Plan14 (2)'!$G75</f>
        <v>1.8962000000000001E-8</v>
      </c>
      <c r="F66" s="6">
        <f>'Plan15 (2)'!$G75</f>
        <v>1.8568000000000001E-8</v>
      </c>
      <c r="G66" s="6">
        <f>'Plan16 (2)'!$G75</f>
        <v>3.4394999999999998E-8</v>
      </c>
      <c r="H66" s="6">
        <f>'Plan17 (2)'!$G75</f>
        <v>1.8661000000000001E-8</v>
      </c>
      <c r="I66" s="6">
        <f>'Plan18 (2)'!$G75</f>
        <v>1.5574999999999999E-8</v>
      </c>
      <c r="J66" s="6">
        <f>'Plan19 (2)'!$G75</f>
        <v>1.8358000000000001E-8</v>
      </c>
      <c r="K66" s="6">
        <f>'Plan20 (2)'!$G75</f>
        <v>1.7935999999999999E-8</v>
      </c>
      <c r="L66" s="7">
        <f t="shared" si="2"/>
        <v>1.9522410000000006E-8</v>
      </c>
      <c r="M66" s="6">
        <f t="shared" ref="M66:M88" si="4">L66-O66</f>
        <v>1.3987882329279285E-8</v>
      </c>
      <c r="N66" s="6">
        <f t="shared" ref="N66:N88" si="5">L66+O66</f>
        <v>2.5056937670720727E-8</v>
      </c>
      <c r="O66" s="6">
        <f t="shared" si="3"/>
        <v>5.5345276707207217E-9</v>
      </c>
    </row>
    <row r="67" spans="1:15" x14ac:dyDescent="0.25">
      <c r="A67" s="9">
        <v>66</v>
      </c>
      <c r="B67" s="6">
        <f>'Plan11 (2)'!$G76</f>
        <v>6.6780000000000003E-9</v>
      </c>
      <c r="C67" s="6">
        <f>'Plan12 (2)'!$G76</f>
        <v>1.5732000000000002E-8</v>
      </c>
      <c r="D67" s="6">
        <f>'Plan13 (2)'!$G76</f>
        <v>3.0371000000000001E-8</v>
      </c>
      <c r="E67" s="6">
        <f>'Plan14 (2)'!$G76</f>
        <v>1.8971999999999999E-8</v>
      </c>
      <c r="F67" s="6">
        <f>'Plan15 (2)'!$G76</f>
        <v>1.8571000000000001E-8</v>
      </c>
      <c r="G67" s="6">
        <f>'Plan16 (2)'!$G76</f>
        <v>3.4380000000000001E-8</v>
      </c>
      <c r="H67" s="6">
        <f>'Plan17 (2)'!$G76</f>
        <v>1.8807000000000001E-8</v>
      </c>
      <c r="I67" s="6">
        <f>'Plan18 (2)'!$G76</f>
        <v>1.5647999999999999E-8</v>
      </c>
      <c r="J67" s="6">
        <f>'Plan19 (2)'!$G76</f>
        <v>1.8395E-8</v>
      </c>
      <c r="K67" s="6">
        <f>'Plan20 (2)'!$G76</f>
        <v>1.8016000000000001E-8</v>
      </c>
      <c r="L67" s="7">
        <f t="shared" ref="L67:L88" si="6">AVERAGE(B67:K67)</f>
        <v>1.9557000000000001E-8</v>
      </c>
      <c r="M67" s="6">
        <f t="shared" si="4"/>
        <v>1.4025907166446927E-8</v>
      </c>
      <c r="N67" s="6">
        <f t="shared" si="5"/>
        <v>2.5088092833553075E-8</v>
      </c>
      <c r="O67" s="6">
        <f t="shared" ref="O67:O88" si="7">_xlfn.CONFIDENCE.T(0.05,_xlfn.STDEV.S(B67:K67),COUNTA(B67:K67))</f>
        <v>5.5310928335530751E-9</v>
      </c>
    </row>
    <row r="68" spans="1:15" x14ac:dyDescent="0.25">
      <c r="A68" s="9">
        <v>67</v>
      </c>
      <c r="B68" s="6">
        <f>'Plan11 (2)'!$G77</f>
        <v>6.6357000000000002E-9</v>
      </c>
      <c r="C68" s="6">
        <f>'Plan12 (2)'!$G77</f>
        <v>1.5769E-8</v>
      </c>
      <c r="D68" s="6">
        <f>'Plan13 (2)'!$G77</f>
        <v>3.0353000000000001E-8</v>
      </c>
      <c r="E68" s="6">
        <f>'Plan14 (2)'!$G77</f>
        <v>1.8958E-8</v>
      </c>
      <c r="F68" s="6">
        <f>'Plan15 (2)'!$G77</f>
        <v>1.8576E-8</v>
      </c>
      <c r="G68" s="6">
        <f>'Plan16 (2)'!$G77</f>
        <v>3.4358000000000002E-8</v>
      </c>
      <c r="H68" s="6">
        <f>'Plan17 (2)'!$G77</f>
        <v>1.8979999999999999E-8</v>
      </c>
      <c r="I68" s="6">
        <f>'Plan18 (2)'!$G77</f>
        <v>1.5737999999999998E-8</v>
      </c>
      <c r="J68" s="6">
        <f>'Plan19 (2)'!$G77</f>
        <v>1.8416000000000001E-8</v>
      </c>
      <c r="K68" s="6">
        <f>'Plan20 (2)'!$G77</f>
        <v>1.8095000000000001E-8</v>
      </c>
      <c r="L68" s="7">
        <f t="shared" si="6"/>
        <v>1.9587870000000001E-8</v>
      </c>
      <c r="M68" s="6">
        <f t="shared" si="4"/>
        <v>1.4064206950691913E-8</v>
      </c>
      <c r="N68" s="6">
        <f t="shared" si="5"/>
        <v>2.5111533049308091E-8</v>
      </c>
      <c r="O68" s="6">
        <f t="shared" si="7"/>
        <v>5.5236630493080879E-9</v>
      </c>
    </row>
    <row r="69" spans="1:15" x14ac:dyDescent="0.25">
      <c r="A69" s="9">
        <v>68</v>
      </c>
      <c r="B69" s="6">
        <f>'Plan11 (2)'!$G78</f>
        <v>6.5817999999999998E-9</v>
      </c>
      <c r="C69" s="6">
        <f>'Plan12 (2)'!$G78</f>
        <v>1.5805000000000002E-8</v>
      </c>
      <c r="D69" s="6">
        <f>'Plan13 (2)'!$G78</f>
        <v>3.0324000000000001E-8</v>
      </c>
      <c r="E69" s="6">
        <f>'Plan14 (2)'!$G78</f>
        <v>1.8967E-8</v>
      </c>
      <c r="F69" s="6">
        <f>'Plan15 (2)'!$G78</f>
        <v>1.8585000000000001E-8</v>
      </c>
      <c r="G69" s="6">
        <f>'Plan16 (2)'!$G78</f>
        <v>3.4322000000000001E-8</v>
      </c>
      <c r="H69" s="6">
        <f>'Plan17 (2)'!$G78</f>
        <v>1.9157999999999999E-8</v>
      </c>
      <c r="I69" s="6">
        <f>'Plan18 (2)'!$G78</f>
        <v>1.5799000000000001E-8</v>
      </c>
      <c r="J69" s="6">
        <f>'Plan19 (2)'!$G78</f>
        <v>1.8442000000000001E-8</v>
      </c>
      <c r="K69" s="6">
        <f>'Plan20 (2)'!$G78</f>
        <v>1.8156999999999998E-8</v>
      </c>
      <c r="L69" s="7">
        <f t="shared" si="6"/>
        <v>1.9614079999999999E-8</v>
      </c>
      <c r="M69" s="6">
        <f t="shared" si="4"/>
        <v>1.4098084342897825E-8</v>
      </c>
      <c r="N69" s="6">
        <f t="shared" si="5"/>
        <v>2.5130075657102172E-8</v>
      </c>
      <c r="O69" s="6">
        <f t="shared" si="7"/>
        <v>5.5159956571021726E-9</v>
      </c>
    </row>
    <row r="70" spans="1:15" x14ac:dyDescent="0.25">
      <c r="A70" s="9">
        <v>69</v>
      </c>
      <c r="B70" s="6">
        <f>'Plan11 (2)'!$G79</f>
        <v>6.5383000000000001E-9</v>
      </c>
      <c r="C70" s="6">
        <f>'Plan12 (2)'!$G79</f>
        <v>1.5833E-8</v>
      </c>
      <c r="D70" s="6">
        <f>'Plan13 (2)'!$G79</f>
        <v>3.0262000000000003E-8</v>
      </c>
      <c r="E70" s="6">
        <f>'Plan14 (2)'!$G79</f>
        <v>1.8971000000000002E-8</v>
      </c>
      <c r="F70" s="6">
        <f>'Plan15 (2)'!$G79</f>
        <v>1.8591000000000001E-8</v>
      </c>
      <c r="G70" s="6">
        <f>'Plan16 (2)'!$G79</f>
        <v>3.428E-8</v>
      </c>
      <c r="H70" s="6">
        <f>'Plan17 (2)'!$G79</f>
        <v>1.9326E-8</v>
      </c>
      <c r="I70" s="6">
        <f>'Plan18 (2)'!$G79</f>
        <v>1.5880000000000001E-8</v>
      </c>
      <c r="J70" s="6">
        <f>'Plan19 (2)'!$G79</f>
        <v>1.8483999999999999E-8</v>
      </c>
      <c r="K70" s="6">
        <f>'Plan20 (2)'!$G79</f>
        <v>1.8217E-8</v>
      </c>
      <c r="L70" s="7">
        <f t="shared" si="6"/>
        <v>1.9638230000000001E-8</v>
      </c>
      <c r="M70" s="6">
        <f t="shared" si="4"/>
        <v>1.4135973913136138E-8</v>
      </c>
      <c r="N70" s="6">
        <f t="shared" si="5"/>
        <v>2.5140486086863866E-8</v>
      </c>
      <c r="O70" s="6">
        <f t="shared" si="7"/>
        <v>5.5022560868638631E-9</v>
      </c>
    </row>
    <row r="71" spans="1:15" x14ac:dyDescent="0.25">
      <c r="A71" s="10">
        <v>70</v>
      </c>
      <c r="B71" s="6">
        <f>'Plan11 (2)'!$G80</f>
        <v>6.5206E-9</v>
      </c>
      <c r="C71" s="6">
        <f>'Plan12 (2)'!$G80</f>
        <v>1.5859E-8</v>
      </c>
      <c r="D71" s="6">
        <f>'Plan13 (2)'!$G80</f>
        <v>3.0183E-8</v>
      </c>
      <c r="E71" s="6">
        <f>'Plan14 (2)'!$G80</f>
        <v>1.8985000000000001E-8</v>
      </c>
      <c r="F71" s="6">
        <f>'Plan15 (2)'!$G80</f>
        <v>1.8556999999999999E-8</v>
      </c>
      <c r="G71" s="6">
        <f>'Plan16 (2)'!$G80</f>
        <v>3.4217000000000001E-8</v>
      </c>
      <c r="H71" s="6">
        <f>'Plan17 (2)'!$G80</f>
        <v>1.9493000000000001E-8</v>
      </c>
      <c r="I71" s="6">
        <f>'Plan18 (2)'!$G80</f>
        <v>1.5994999999999999E-8</v>
      </c>
      <c r="J71" s="6">
        <f>'Plan19 (2)'!$G80</f>
        <v>1.8533999999999999E-8</v>
      </c>
      <c r="K71" s="6">
        <f>'Plan20 (2)'!$G80</f>
        <v>1.8273000000000001E-8</v>
      </c>
      <c r="L71" s="7">
        <f t="shared" si="6"/>
        <v>1.9661659999999998E-8</v>
      </c>
      <c r="M71" s="6">
        <f t="shared" si="4"/>
        <v>1.418215696625624E-8</v>
      </c>
      <c r="N71" s="6">
        <f t="shared" si="5"/>
        <v>2.5141163033743757E-8</v>
      </c>
      <c r="O71" s="6">
        <f t="shared" si="7"/>
        <v>5.4795030337437582E-9</v>
      </c>
    </row>
    <row r="72" spans="1:15" x14ac:dyDescent="0.25">
      <c r="A72" s="9">
        <v>71</v>
      </c>
      <c r="B72" s="6">
        <f>'Plan11 (2)'!$G81</f>
        <v>6.5072E-9</v>
      </c>
      <c r="C72" s="6">
        <f>'Plan12 (2)'!$G81</f>
        <v>1.5898000000000001E-8</v>
      </c>
      <c r="D72" s="6">
        <f>'Plan13 (2)'!$G81</f>
        <v>3.0100999999999999E-8</v>
      </c>
      <c r="E72" s="6">
        <f>'Plan14 (2)'!$G81</f>
        <v>1.8994999999999999E-8</v>
      </c>
      <c r="F72" s="6">
        <f>'Plan15 (2)'!$G81</f>
        <v>1.8542999999999999E-8</v>
      </c>
      <c r="G72" s="6">
        <f>'Plan16 (2)'!$G81</f>
        <v>3.4137000000000003E-8</v>
      </c>
      <c r="H72" s="6">
        <f>'Plan17 (2)'!$G81</f>
        <v>1.9656999999999999E-8</v>
      </c>
      <c r="I72" s="6">
        <f>'Plan18 (2)'!$G81</f>
        <v>1.6082000000000001E-8</v>
      </c>
      <c r="J72" s="6">
        <f>'Plan19 (2)'!$G81</f>
        <v>1.8611E-8</v>
      </c>
      <c r="K72" s="6">
        <f>'Plan20 (2)'!$G81</f>
        <v>1.8311000000000001E-8</v>
      </c>
      <c r="L72" s="7">
        <f t="shared" si="6"/>
        <v>1.9684220000000003E-8</v>
      </c>
      <c r="M72" s="6">
        <f t="shared" si="4"/>
        <v>1.4230209878632111E-8</v>
      </c>
      <c r="N72" s="6">
        <f t="shared" si="5"/>
        <v>2.5138230121367894E-8</v>
      </c>
      <c r="O72" s="6">
        <f t="shared" si="7"/>
        <v>5.454010121367892E-9</v>
      </c>
    </row>
    <row r="73" spans="1:15" x14ac:dyDescent="0.25">
      <c r="A73" s="9">
        <v>73</v>
      </c>
      <c r="B73" s="6">
        <f>'Plan11 (2)'!$G82</f>
        <v>6.5506999999999997E-9</v>
      </c>
      <c r="C73" s="6">
        <f>'Plan12 (2)'!$G82</f>
        <v>1.5929E-8</v>
      </c>
      <c r="D73" s="6">
        <f>'Plan13 (2)'!$G82</f>
        <v>2.9806000000000002E-8</v>
      </c>
      <c r="E73" s="6">
        <f>'Plan14 (2)'!$G82</f>
        <v>1.9009999999999999E-8</v>
      </c>
      <c r="F73" s="6">
        <f>'Plan15 (2)'!$G82</f>
        <v>1.8510999999999999E-8</v>
      </c>
      <c r="G73" s="6">
        <f>'Plan16 (2)'!$G82</f>
        <v>3.3926000000000002E-8</v>
      </c>
      <c r="H73" s="6">
        <f>'Plan17 (2)'!$G82</f>
        <v>1.9960000000000001E-8</v>
      </c>
      <c r="I73" s="6">
        <f>'Plan18 (2)'!$G82</f>
        <v>1.6286000000000001E-8</v>
      </c>
      <c r="J73" s="6">
        <f>'Plan19 (2)'!$G82</f>
        <v>1.8813000000000001E-8</v>
      </c>
      <c r="K73" s="6">
        <f>'Plan20 (2)'!$G82</f>
        <v>1.8445999999999999E-8</v>
      </c>
      <c r="L73" s="7">
        <f t="shared" si="6"/>
        <v>1.9723770000000001E-8</v>
      </c>
      <c r="M73" s="6">
        <f t="shared" si="4"/>
        <v>1.4351437543956086E-8</v>
      </c>
      <c r="N73" s="6">
        <f t="shared" si="5"/>
        <v>2.5096102456043917E-8</v>
      </c>
      <c r="O73" s="6">
        <f t="shared" si="7"/>
        <v>5.3723324560439152E-9</v>
      </c>
    </row>
    <row r="74" spans="1:15" x14ac:dyDescent="0.25">
      <c r="A74" s="9">
        <v>75</v>
      </c>
      <c r="B74" s="6">
        <f>'Plan11 (2)'!$G83</f>
        <v>6.5560999999999997E-9</v>
      </c>
      <c r="C74" s="6">
        <f>'Plan12 (2)'!$G83</f>
        <v>1.5958E-8</v>
      </c>
      <c r="D74" s="6">
        <f>'Plan13 (2)'!$G83</f>
        <v>2.9440000000000001E-8</v>
      </c>
      <c r="E74" s="6">
        <f>'Plan14 (2)'!$G83</f>
        <v>1.8985000000000001E-8</v>
      </c>
      <c r="F74" s="6">
        <f>'Plan15 (2)'!$G83</f>
        <v>1.8463999999999999E-8</v>
      </c>
      <c r="G74" s="6">
        <f>'Plan16 (2)'!$G83</f>
        <v>3.3657000000000002E-8</v>
      </c>
      <c r="H74" s="6">
        <f>'Plan17 (2)'!$G83</f>
        <v>2.0234000000000001E-8</v>
      </c>
      <c r="I74" s="6">
        <f>'Plan18 (2)'!$G83</f>
        <v>1.6486E-8</v>
      </c>
      <c r="J74" s="6">
        <f>'Plan19 (2)'!$G83</f>
        <v>1.9159E-8</v>
      </c>
      <c r="K74" s="6">
        <f>'Plan20 (2)'!$G83</f>
        <v>1.8574999999999999E-8</v>
      </c>
      <c r="L74" s="7">
        <f t="shared" si="6"/>
        <v>1.9751409999999998E-8</v>
      </c>
      <c r="M74" s="6">
        <f t="shared" si="4"/>
        <v>1.4469727201754191E-8</v>
      </c>
      <c r="N74" s="6">
        <f t="shared" si="5"/>
        <v>2.5033092798245804E-8</v>
      </c>
      <c r="O74" s="6">
        <f t="shared" si="7"/>
        <v>5.2816827982458059E-9</v>
      </c>
    </row>
    <row r="75" spans="1:15" x14ac:dyDescent="0.25">
      <c r="A75" s="9">
        <v>77</v>
      </c>
      <c r="B75" s="6">
        <f>'Plan11 (2)'!$G84</f>
        <v>6.6162000000000004E-9</v>
      </c>
      <c r="C75" s="6">
        <f>'Plan12 (2)'!$G84</f>
        <v>1.5959999999999999E-8</v>
      </c>
      <c r="D75" s="6">
        <f>'Plan13 (2)'!$G84</f>
        <v>2.8997999999999999E-8</v>
      </c>
      <c r="E75" s="6">
        <f>'Plan14 (2)'!$G84</f>
        <v>1.8971000000000002E-8</v>
      </c>
      <c r="F75" s="6">
        <f>'Plan15 (2)'!$G84</f>
        <v>1.8402000000000002E-8</v>
      </c>
      <c r="G75" s="6">
        <f>'Plan16 (2)'!$G84</f>
        <v>3.3344999999999998E-8</v>
      </c>
      <c r="H75" s="6">
        <f>'Plan17 (2)'!$G84</f>
        <v>2.0465000000000002E-8</v>
      </c>
      <c r="I75" s="6">
        <f>'Plan18 (2)'!$G84</f>
        <v>1.6651000000000001E-8</v>
      </c>
      <c r="J75" s="6">
        <f>'Plan19 (2)'!$G84</f>
        <v>1.9577999999999998E-8</v>
      </c>
      <c r="K75" s="6">
        <f>'Plan20 (2)'!$G84</f>
        <v>1.8755999999999999E-8</v>
      </c>
      <c r="L75" s="7">
        <f t="shared" si="6"/>
        <v>1.977422E-8</v>
      </c>
      <c r="M75" s="6">
        <f t="shared" si="4"/>
        <v>1.4600513549436175E-8</v>
      </c>
      <c r="N75" s="6">
        <f t="shared" si="5"/>
        <v>2.4947926450563826E-8</v>
      </c>
      <c r="O75" s="6">
        <f t="shared" si="7"/>
        <v>5.1737064505638249E-9</v>
      </c>
    </row>
    <row r="76" spans="1:15" x14ac:dyDescent="0.25">
      <c r="A76" s="10">
        <v>79</v>
      </c>
      <c r="B76" s="6">
        <f>'Plan11 (2)'!$G85</f>
        <v>6.6821999999999999E-9</v>
      </c>
      <c r="C76" s="6">
        <f>'Plan12 (2)'!$G85</f>
        <v>1.5882E-8</v>
      </c>
      <c r="D76" s="6">
        <f>'Plan13 (2)'!$G85</f>
        <v>2.8539000000000002E-8</v>
      </c>
      <c r="E76" s="6">
        <f>'Plan14 (2)'!$G85</f>
        <v>1.892E-8</v>
      </c>
      <c r="F76" s="6">
        <f>'Plan15 (2)'!$G85</f>
        <v>1.8346000000000001E-8</v>
      </c>
      <c r="G76" s="6">
        <f>'Plan16 (2)'!$G85</f>
        <v>3.2973E-8</v>
      </c>
      <c r="H76" s="6">
        <f>'Plan17 (2)'!$G85</f>
        <v>2.0704000000000001E-8</v>
      </c>
      <c r="I76" s="6">
        <f>'Plan18 (2)'!$G85</f>
        <v>1.6854E-8</v>
      </c>
      <c r="J76" s="6">
        <f>'Plan19 (2)'!$G85</f>
        <v>2.0001999999999999E-8</v>
      </c>
      <c r="K76" s="6">
        <f>'Plan20 (2)'!$G85</f>
        <v>1.8929E-8</v>
      </c>
      <c r="L76" s="7">
        <f t="shared" si="6"/>
        <v>1.9783119999999998E-8</v>
      </c>
      <c r="M76" s="6">
        <f t="shared" si="4"/>
        <v>1.4721935796490326E-8</v>
      </c>
      <c r="N76" s="6">
        <f t="shared" si="5"/>
        <v>2.4844304203509669E-8</v>
      </c>
      <c r="O76" s="6">
        <f t="shared" si="7"/>
        <v>5.0611842035096717E-9</v>
      </c>
    </row>
    <row r="77" spans="1:15" x14ac:dyDescent="0.25">
      <c r="A77" s="9">
        <v>81</v>
      </c>
      <c r="B77" s="6">
        <f>'Plan11 (2)'!$G86</f>
        <v>6.6560999999999998E-9</v>
      </c>
      <c r="C77" s="6">
        <f>'Plan12 (2)'!$G86</f>
        <v>1.578E-8</v>
      </c>
      <c r="D77" s="6">
        <f>'Plan13 (2)'!$G86</f>
        <v>2.8110999999999999E-8</v>
      </c>
      <c r="E77" s="6">
        <f>'Plan14 (2)'!$G86</f>
        <v>1.8848000000000001E-8</v>
      </c>
      <c r="F77" s="6">
        <f>'Plan15 (2)'!$G86</f>
        <v>1.8261000000000001E-8</v>
      </c>
      <c r="G77" s="6">
        <f>'Plan16 (2)'!$G86</f>
        <v>3.2602999999999998E-8</v>
      </c>
      <c r="H77" s="6">
        <f>'Plan17 (2)'!$G86</f>
        <v>2.0926000000000002E-8</v>
      </c>
      <c r="I77" s="6">
        <f>'Plan18 (2)'!$G86</f>
        <v>1.7039000000000001E-8</v>
      </c>
      <c r="J77" s="6">
        <f>'Plan19 (2)'!$G86</f>
        <v>2.0429E-8</v>
      </c>
      <c r="K77" s="6">
        <f>'Plan20 (2)'!$G86</f>
        <v>1.9093000000000001E-8</v>
      </c>
      <c r="L77" s="7">
        <f t="shared" si="6"/>
        <v>1.9774609999999998E-8</v>
      </c>
      <c r="M77" s="6">
        <f t="shared" si="4"/>
        <v>1.4801482136716767E-8</v>
      </c>
      <c r="N77" s="6">
        <f t="shared" si="5"/>
        <v>2.4747737863283231E-8</v>
      </c>
      <c r="O77" s="6">
        <f t="shared" si="7"/>
        <v>4.9731278632832314E-9</v>
      </c>
    </row>
    <row r="78" spans="1:15" x14ac:dyDescent="0.25">
      <c r="A78" s="9">
        <v>83</v>
      </c>
      <c r="B78" s="6">
        <f>'Plan11 (2)'!$G87</f>
        <v>6.6638000000000001E-9</v>
      </c>
      <c r="C78" s="6">
        <f>'Plan12 (2)'!$G87</f>
        <v>1.5705999999999998E-8</v>
      </c>
      <c r="D78" s="6">
        <f>'Plan13 (2)'!$G87</f>
        <v>2.7722999999999999E-8</v>
      </c>
      <c r="E78" s="6">
        <f>'Plan14 (2)'!$G87</f>
        <v>1.8736E-8</v>
      </c>
      <c r="F78" s="6">
        <f>'Plan15 (2)'!$G87</f>
        <v>1.8193E-8</v>
      </c>
      <c r="G78" s="6">
        <f>'Plan16 (2)'!$G87</f>
        <v>3.2200999999999998E-8</v>
      </c>
      <c r="H78" s="6">
        <f>'Plan17 (2)'!$G87</f>
        <v>2.1121999999999999E-8</v>
      </c>
      <c r="I78" s="6">
        <f>'Plan18 (2)'!$G87</f>
        <v>1.7254E-8</v>
      </c>
      <c r="J78" s="6">
        <f>'Plan19 (2)'!$G87</f>
        <v>2.0864000000000001E-8</v>
      </c>
      <c r="K78" s="6">
        <f>'Plan20 (2)'!$G87</f>
        <v>1.9273E-8</v>
      </c>
      <c r="L78" s="7">
        <f t="shared" si="6"/>
        <v>1.9773579999999997E-8</v>
      </c>
      <c r="M78" s="6">
        <f t="shared" si="4"/>
        <v>1.4891263985073032E-8</v>
      </c>
      <c r="N78" s="6">
        <f t="shared" si="5"/>
        <v>2.4655896014926963E-8</v>
      </c>
      <c r="O78" s="6">
        <f t="shared" si="7"/>
        <v>4.8823160149269648E-9</v>
      </c>
    </row>
    <row r="79" spans="1:15" x14ac:dyDescent="0.25">
      <c r="A79" s="9">
        <v>85</v>
      </c>
      <c r="B79" s="6">
        <f>'Plan11 (2)'!$G88</f>
        <v>6.6540000000000004E-9</v>
      </c>
      <c r="C79" s="6">
        <f>'Plan12 (2)'!$G88</f>
        <v>1.5669E-8</v>
      </c>
      <c r="D79" s="6">
        <f>'Plan13 (2)'!$G88</f>
        <v>2.7365000000000001E-8</v>
      </c>
      <c r="E79" s="6">
        <f>'Plan14 (2)'!$G88</f>
        <v>1.8704E-8</v>
      </c>
      <c r="F79" s="6">
        <f>'Plan15 (2)'!$G88</f>
        <v>1.817E-8</v>
      </c>
      <c r="G79" s="6">
        <f>'Plan16 (2)'!$G88</f>
        <v>3.1727999999999998E-8</v>
      </c>
      <c r="H79" s="6">
        <f>'Plan17 (2)'!$G88</f>
        <v>2.1317999999999999E-8</v>
      </c>
      <c r="I79" s="6">
        <f>'Plan18 (2)'!$G88</f>
        <v>1.7452E-8</v>
      </c>
      <c r="J79" s="6">
        <f>'Plan19 (2)'!$G88</f>
        <v>2.1276000000000001E-8</v>
      </c>
      <c r="K79" s="6">
        <f>'Plan20 (2)'!$G88</f>
        <v>1.9461000000000001E-8</v>
      </c>
      <c r="L79" s="7">
        <f t="shared" si="6"/>
        <v>1.9779699999999999E-8</v>
      </c>
      <c r="M79" s="6">
        <f t="shared" si="4"/>
        <v>1.4990702623846472E-8</v>
      </c>
      <c r="N79" s="6">
        <f t="shared" si="5"/>
        <v>2.4568697376153527E-8</v>
      </c>
      <c r="O79" s="6">
        <f t="shared" si="7"/>
        <v>4.7889973761535277E-9</v>
      </c>
    </row>
    <row r="80" spans="1:15" x14ac:dyDescent="0.25">
      <c r="A80" s="9">
        <v>87</v>
      </c>
      <c r="B80" s="6">
        <f>'Plan11 (2)'!$G89</f>
        <v>6.6195999999999998E-9</v>
      </c>
      <c r="C80" s="6">
        <f>'Plan12 (2)'!$G89</f>
        <v>1.5635999999999999E-8</v>
      </c>
      <c r="D80" s="6">
        <f>'Plan13 (2)'!$G89</f>
        <v>2.6972999999999999E-8</v>
      </c>
      <c r="E80" s="6">
        <f>'Plan14 (2)'!$G89</f>
        <v>1.8666E-8</v>
      </c>
      <c r="F80" s="6">
        <f>'Plan15 (2)'!$G89</f>
        <v>1.8119000000000002E-8</v>
      </c>
      <c r="G80" s="6">
        <f>'Plan16 (2)'!$G89</f>
        <v>3.1223000000000001E-8</v>
      </c>
      <c r="H80" s="6">
        <f>'Plan17 (2)'!$G89</f>
        <v>2.1500000000000001E-8</v>
      </c>
      <c r="I80" s="6">
        <f>'Plan18 (2)'!$G89</f>
        <v>1.7648E-8</v>
      </c>
      <c r="J80" s="6">
        <f>'Plan19 (2)'!$G89</f>
        <v>2.1693000000000001E-8</v>
      </c>
      <c r="K80" s="6">
        <f>'Plan20 (2)'!$G89</f>
        <v>1.9647000000000001E-8</v>
      </c>
      <c r="L80" s="7">
        <f t="shared" si="6"/>
        <v>1.9772460000000001E-8</v>
      </c>
      <c r="M80" s="6">
        <f t="shared" si="4"/>
        <v>1.5074097638464068E-8</v>
      </c>
      <c r="N80" s="6">
        <f t="shared" si="5"/>
        <v>2.4470822361535934E-8</v>
      </c>
      <c r="O80" s="6">
        <f t="shared" si="7"/>
        <v>4.6983623615359318E-9</v>
      </c>
    </row>
    <row r="81" spans="1:15" x14ac:dyDescent="0.25">
      <c r="A81" s="10">
        <v>89</v>
      </c>
      <c r="B81" s="6">
        <f>'Plan11 (2)'!$G90</f>
        <v>6.5765000000000002E-9</v>
      </c>
      <c r="C81" s="6">
        <f>'Plan12 (2)'!$G90</f>
        <v>1.5582E-8</v>
      </c>
      <c r="D81" s="6">
        <f>'Plan13 (2)'!$G90</f>
        <v>2.6569999999999999E-8</v>
      </c>
      <c r="E81" s="6">
        <f>'Plan14 (2)'!$G90</f>
        <v>1.8634E-8</v>
      </c>
      <c r="F81" s="6">
        <f>'Plan15 (2)'!$G90</f>
        <v>1.8091E-8</v>
      </c>
      <c r="G81" s="6">
        <f>'Plan16 (2)'!$G90</f>
        <v>3.0664000000000002E-8</v>
      </c>
      <c r="H81" s="6">
        <f>'Plan17 (2)'!$G90</f>
        <v>2.1667000000000001E-8</v>
      </c>
      <c r="I81" s="6">
        <f>'Plan18 (2)'!$G90</f>
        <v>1.7811E-8</v>
      </c>
      <c r="J81" s="6">
        <f>'Plan19 (2)'!$G90</f>
        <v>2.2092E-8</v>
      </c>
      <c r="K81" s="6">
        <f>'Plan20 (2)'!$G90</f>
        <v>1.9799000000000001E-8</v>
      </c>
      <c r="L81" s="7">
        <f t="shared" si="6"/>
        <v>1.9748650000000001E-8</v>
      </c>
      <c r="M81" s="6">
        <f t="shared" si="4"/>
        <v>1.5140527237970156E-8</v>
      </c>
      <c r="N81" s="6">
        <f t="shared" si="5"/>
        <v>2.4356772762029847E-8</v>
      </c>
      <c r="O81" s="6">
        <f t="shared" si="7"/>
        <v>4.6081227620298449E-9</v>
      </c>
    </row>
    <row r="82" spans="1:15" x14ac:dyDescent="0.25">
      <c r="A82" s="9">
        <v>91</v>
      </c>
      <c r="B82" s="6">
        <f>'Plan11 (2)'!$G91</f>
        <v>6.5022000000000001E-9</v>
      </c>
      <c r="C82" s="6">
        <f>'Plan12 (2)'!$G91</f>
        <v>1.5530000000000001E-8</v>
      </c>
      <c r="D82" s="6">
        <f>'Plan13 (2)'!$G91</f>
        <v>2.6146000000000001E-8</v>
      </c>
      <c r="E82" s="6">
        <f>'Plan14 (2)'!$G91</f>
        <v>1.8599E-8</v>
      </c>
      <c r="F82" s="6">
        <f>'Plan15 (2)'!$G91</f>
        <v>1.8086999999999998E-8</v>
      </c>
      <c r="G82" s="6">
        <f>'Plan16 (2)'!$G91</f>
        <v>3.0094999999999999E-8</v>
      </c>
      <c r="H82" s="6">
        <f>'Plan17 (2)'!$G91</f>
        <v>2.1788E-8</v>
      </c>
      <c r="I82" s="6">
        <f>'Plan18 (2)'!$G91</f>
        <v>1.7972E-8</v>
      </c>
      <c r="J82" s="6">
        <f>'Plan19 (2)'!$G91</f>
        <v>2.2472999999999999E-8</v>
      </c>
      <c r="K82" s="6">
        <f>'Plan20 (2)'!$G91</f>
        <v>1.9980000000000001E-8</v>
      </c>
      <c r="L82" s="7">
        <f t="shared" si="6"/>
        <v>1.9717220000000001E-8</v>
      </c>
      <c r="M82" s="6">
        <f t="shared" si="4"/>
        <v>1.5192262088985743E-8</v>
      </c>
      <c r="N82" s="6">
        <f t="shared" si="5"/>
        <v>2.4242177911014259E-8</v>
      </c>
      <c r="O82" s="6">
        <f t="shared" si="7"/>
        <v>4.5249579110142571E-9</v>
      </c>
    </row>
    <row r="83" spans="1:15" x14ac:dyDescent="0.25">
      <c r="A83" s="9">
        <v>93</v>
      </c>
      <c r="B83" s="6">
        <f>'Plan11 (2)'!$G92</f>
        <v>6.4698999999999998E-9</v>
      </c>
      <c r="C83" s="6">
        <f>'Plan12 (2)'!$G92</f>
        <v>1.5491E-8</v>
      </c>
      <c r="D83" s="6">
        <f>'Plan13 (2)'!$G92</f>
        <v>2.5705999999999999E-8</v>
      </c>
      <c r="E83" s="6">
        <f>'Plan14 (2)'!$G92</f>
        <v>1.8562999999999999E-8</v>
      </c>
      <c r="F83" s="6">
        <f>'Plan15 (2)'!$G92</f>
        <v>1.7990000000000001E-8</v>
      </c>
      <c r="G83" s="6">
        <f>'Plan16 (2)'!$G92</f>
        <v>2.9533E-8</v>
      </c>
      <c r="H83" s="6">
        <f>'Plan17 (2)'!$G92</f>
        <v>2.1911E-8</v>
      </c>
      <c r="I83" s="6">
        <f>'Plan18 (2)'!$G92</f>
        <v>1.8158E-8</v>
      </c>
      <c r="J83" s="6">
        <f>'Plan19 (2)'!$G92</f>
        <v>2.2851000000000001E-8</v>
      </c>
      <c r="K83" s="6">
        <f>'Plan20 (2)'!$G92</f>
        <v>2.0132000000000001E-8</v>
      </c>
      <c r="L83" s="7">
        <f t="shared" si="6"/>
        <v>1.9680489999999999E-8</v>
      </c>
      <c r="M83" s="6">
        <f t="shared" si="4"/>
        <v>1.5237937869420207E-8</v>
      </c>
      <c r="N83" s="6">
        <f t="shared" si="5"/>
        <v>2.4123042130579791E-8</v>
      </c>
      <c r="O83" s="6">
        <f t="shared" si="7"/>
        <v>4.4425521305797911E-9</v>
      </c>
    </row>
    <row r="84" spans="1:15" x14ac:dyDescent="0.25">
      <c r="A84" s="9">
        <v>95</v>
      </c>
      <c r="B84" s="6">
        <f>'Plan11 (2)'!$G93</f>
        <v>6.4389999999999998E-9</v>
      </c>
      <c r="C84" s="6">
        <f>'Plan12 (2)'!$G93</f>
        <v>1.5463999999999999E-8</v>
      </c>
      <c r="D84" s="6">
        <f>'Plan13 (2)'!$G93</f>
        <v>2.5246E-8</v>
      </c>
      <c r="E84" s="6">
        <f>'Plan14 (2)'!$G93</f>
        <v>1.8553999999999999E-8</v>
      </c>
      <c r="F84" s="6">
        <f>'Plan15 (2)'!$G93</f>
        <v>1.7928E-8</v>
      </c>
      <c r="G84" s="6">
        <f>'Plan16 (2)'!$G93</f>
        <v>2.8999E-8</v>
      </c>
      <c r="H84" s="6">
        <f>'Plan17 (2)'!$G93</f>
        <v>2.2037000000000001E-8</v>
      </c>
      <c r="I84" s="6">
        <f>'Plan18 (2)'!$G93</f>
        <v>1.8326999999999999E-8</v>
      </c>
      <c r="J84" s="6">
        <f>'Plan19 (2)'!$G93</f>
        <v>2.3234999999999999E-8</v>
      </c>
      <c r="K84" s="6">
        <f>'Plan20 (2)'!$G93</f>
        <v>2.0234999999999999E-8</v>
      </c>
      <c r="L84" s="7">
        <f t="shared" si="6"/>
        <v>1.9646400000000001E-8</v>
      </c>
      <c r="M84" s="6">
        <f t="shared" si="4"/>
        <v>1.5278222925085075E-8</v>
      </c>
      <c r="N84" s="6">
        <f t="shared" si="5"/>
        <v>2.4014577074914927E-8</v>
      </c>
      <c r="O84" s="6">
        <f t="shared" si="7"/>
        <v>4.3681770749149265E-9</v>
      </c>
    </row>
    <row r="85" spans="1:15" x14ac:dyDescent="0.25">
      <c r="A85" s="9">
        <v>97</v>
      </c>
      <c r="B85" s="6">
        <f>'Plan11 (2)'!$G94</f>
        <v>6.4052999999999998E-9</v>
      </c>
      <c r="C85" s="6">
        <f>'Plan12 (2)'!$G94</f>
        <v>1.5457000000000001E-8</v>
      </c>
      <c r="D85" s="6">
        <f>'Plan13 (2)'!$G94</f>
        <v>2.4769999999999999E-8</v>
      </c>
      <c r="E85" s="6">
        <f>'Plan14 (2)'!$G94</f>
        <v>1.8547999999999998E-8</v>
      </c>
      <c r="F85" s="6">
        <f>'Plan15 (2)'!$G94</f>
        <v>1.7853000000000001E-8</v>
      </c>
      <c r="G85" s="6">
        <f>'Plan16 (2)'!$G94</f>
        <v>2.8463000000000001E-8</v>
      </c>
      <c r="H85" s="6">
        <f>'Plan17 (2)'!$G94</f>
        <v>2.215E-8</v>
      </c>
      <c r="I85" s="6">
        <f>'Plan18 (2)'!$G94</f>
        <v>1.8488E-8</v>
      </c>
      <c r="J85" s="6">
        <f>'Plan19 (2)'!$G94</f>
        <v>2.3628000000000002E-8</v>
      </c>
      <c r="K85" s="6">
        <f>'Plan20 (2)'!$G94</f>
        <v>2.0339999999999999E-8</v>
      </c>
      <c r="L85" s="7">
        <f t="shared" si="6"/>
        <v>1.9610230000000002E-8</v>
      </c>
      <c r="M85" s="6">
        <f t="shared" si="4"/>
        <v>1.5310046210328952E-8</v>
      </c>
      <c r="N85" s="6">
        <f t="shared" si="5"/>
        <v>2.3910413789671052E-8</v>
      </c>
      <c r="O85" s="6">
        <f t="shared" si="7"/>
        <v>4.3001837896710514E-9</v>
      </c>
    </row>
    <row r="86" spans="1:15" x14ac:dyDescent="0.25">
      <c r="A86" s="10">
        <v>99</v>
      </c>
      <c r="B86" s="6">
        <f>'Plan11 (2)'!$G95</f>
        <v>6.4100999999999996E-9</v>
      </c>
      <c r="C86" s="6">
        <f>'Plan12 (2)'!$G95</f>
        <v>1.5483E-8</v>
      </c>
      <c r="D86" s="6">
        <f>'Plan13 (2)'!$G95</f>
        <v>2.4292E-8</v>
      </c>
      <c r="E86" s="6">
        <f>'Plan14 (2)'!$G95</f>
        <v>1.8517E-8</v>
      </c>
      <c r="F86" s="6">
        <f>'Plan15 (2)'!$G95</f>
        <v>1.7818000000000001E-8</v>
      </c>
      <c r="G86" s="6">
        <f>'Plan16 (2)'!$G95</f>
        <v>2.7952000000000001E-8</v>
      </c>
      <c r="H86" s="6">
        <f>'Plan17 (2)'!$G95</f>
        <v>2.2262000000000001E-8</v>
      </c>
      <c r="I86" s="6">
        <f>'Plan18 (2)'!$G95</f>
        <v>1.8629999999999999E-8</v>
      </c>
      <c r="J86" s="6">
        <f>'Plan19 (2)'!$G95</f>
        <v>2.4016999999999999E-8</v>
      </c>
      <c r="K86" s="6">
        <f>'Plan20 (2)'!$G95</f>
        <v>2.0456000000000001E-8</v>
      </c>
      <c r="L86" s="7">
        <f t="shared" si="6"/>
        <v>1.9583710000000002E-8</v>
      </c>
      <c r="M86" s="6">
        <f>L86-O86</f>
        <v>1.5349523227433712E-8</v>
      </c>
      <c r="N86" s="6">
        <f t="shared" si="5"/>
        <v>2.3817896772566292E-8</v>
      </c>
      <c r="O86" s="6">
        <f t="shared" si="7"/>
        <v>4.2341867725662903E-9</v>
      </c>
    </row>
    <row r="87" spans="1:15" x14ac:dyDescent="0.25">
      <c r="A87" s="9">
        <v>101</v>
      </c>
      <c r="B87" s="6">
        <f>'Plan11 (2)'!$G96</f>
        <v>6.4277E-9</v>
      </c>
      <c r="C87" s="6">
        <f>'Plan12 (2)'!$G96</f>
        <v>1.5506E-8</v>
      </c>
      <c r="D87" s="6">
        <f>'Plan13 (2)'!$G96</f>
        <v>2.3776999999999998E-8</v>
      </c>
      <c r="E87" s="6">
        <f>'Plan14 (2)'!$G96</f>
        <v>1.8509000000000001E-8</v>
      </c>
      <c r="F87" s="6">
        <f>'Plan15 (2)'!$G96</f>
        <v>1.7802E-8</v>
      </c>
      <c r="G87" s="6">
        <f>'Plan16 (2)'!$G96</f>
        <v>2.747E-8</v>
      </c>
      <c r="H87" s="6">
        <f>'Plan17 (2)'!$G96</f>
        <v>2.2379000000000001E-8</v>
      </c>
      <c r="I87" s="6">
        <f>'Plan18 (2)'!$G96</f>
        <v>1.8807000000000001E-8</v>
      </c>
      <c r="J87" s="6">
        <f>'Plan19 (2)'!$G96</f>
        <v>2.4395000000000001E-8</v>
      </c>
      <c r="K87" s="6">
        <f>'Plan20 (2)'!$G96</f>
        <v>2.0563E-8</v>
      </c>
      <c r="L87" s="7">
        <f t="shared" si="6"/>
        <v>1.9563569999999998E-8</v>
      </c>
      <c r="M87" s="6">
        <f t="shared" si="4"/>
        <v>1.5390072592594484E-8</v>
      </c>
      <c r="N87" s="6">
        <f t="shared" si="5"/>
        <v>2.3737067407405511E-8</v>
      </c>
      <c r="O87" s="6">
        <f t="shared" si="7"/>
        <v>4.1734974074055124E-9</v>
      </c>
    </row>
    <row r="88" spans="1:15" x14ac:dyDescent="0.25">
      <c r="A88" s="9">
        <v>103</v>
      </c>
      <c r="B88" s="6">
        <f>'Plan11 (2)'!$G97</f>
        <v>6.4562999999999997E-9</v>
      </c>
      <c r="C88" s="6">
        <f>'Plan12 (2)'!$G97</f>
        <v>1.55E-8</v>
      </c>
      <c r="D88" s="6">
        <f>'Plan13 (2)'!$G97</f>
        <v>2.3239000000000001E-8</v>
      </c>
      <c r="E88" s="6">
        <f>'Plan14 (2)'!$G97</f>
        <v>1.8542000000000002E-8</v>
      </c>
      <c r="F88" s="6">
        <f>'Plan15 (2)'!$G97</f>
        <v>1.7771000000000001E-8</v>
      </c>
      <c r="G88" s="6">
        <f>'Plan16 (2)'!$G97</f>
        <v>2.6957999999999999E-8</v>
      </c>
      <c r="H88" s="6">
        <f>'Plan17 (2)'!$G97</f>
        <v>2.2495999999999998E-8</v>
      </c>
      <c r="I88" s="6">
        <f>'Plan18 (2)'!$G97</f>
        <v>1.8982000000000001E-8</v>
      </c>
      <c r="J88" s="6">
        <f>'Plan19 (2)'!$G97</f>
        <v>2.4760000000000001E-8</v>
      </c>
      <c r="K88" s="6">
        <f>'Plan20 (2)'!$G97</f>
        <v>2.0709E-8</v>
      </c>
      <c r="L88" s="7">
        <f t="shared" si="6"/>
        <v>1.9541329999999999E-8</v>
      </c>
      <c r="M88" s="6">
        <f t="shared" si="4"/>
        <v>1.5424979226024287E-8</v>
      </c>
      <c r="N88" s="6">
        <f t="shared" si="5"/>
        <v>2.365768077397571E-8</v>
      </c>
      <c r="O88" s="6">
        <f t="shared" si="7"/>
        <v>4.116350773975713E-9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423</v>
      </c>
      <c r="H2" t="s">
        <v>26</v>
      </c>
      <c r="I2">
        <v>423</v>
      </c>
    </row>
    <row r="3" spans="2:12" x14ac:dyDescent="0.25">
      <c r="B3" t="s">
        <v>27</v>
      </c>
      <c r="C3" t="s">
        <v>28</v>
      </c>
      <c r="D3" s="11">
        <v>1.0001350000000001E-2</v>
      </c>
    </row>
    <row r="4" spans="2:12" x14ac:dyDescent="0.25">
      <c r="B4" t="s">
        <v>29</v>
      </c>
      <c r="C4" t="s">
        <v>28</v>
      </c>
      <c r="D4" s="11">
        <v>1.0001060000000001E-2</v>
      </c>
    </row>
    <row r="5" spans="2:12" x14ac:dyDescent="0.25">
      <c r="B5" t="s">
        <v>30</v>
      </c>
      <c r="C5" t="s">
        <v>28</v>
      </c>
      <c r="D5" s="11">
        <v>1.00012E-2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422</v>
      </c>
      <c r="E11">
        <v>1</v>
      </c>
      <c r="F11" s="11">
        <v>0</v>
      </c>
      <c r="G11" s="11">
        <v>6.0902999999999999E-8</v>
      </c>
      <c r="H11" s="11">
        <v>0</v>
      </c>
    </row>
    <row r="12" spans="2:12" x14ac:dyDescent="0.25">
      <c r="B12">
        <v>2</v>
      </c>
      <c r="C12" s="11">
        <v>2</v>
      </c>
      <c r="D12">
        <v>420</v>
      </c>
      <c r="E12">
        <v>0</v>
      </c>
      <c r="F12" s="11">
        <v>0</v>
      </c>
      <c r="G12" s="11">
        <v>3.1096000000000003E-8</v>
      </c>
      <c r="H12" s="11">
        <v>0</v>
      </c>
    </row>
    <row r="13" spans="2:12" x14ac:dyDescent="0.25">
      <c r="B13">
        <v>3</v>
      </c>
      <c r="C13" s="11">
        <v>3</v>
      </c>
      <c r="D13">
        <v>418</v>
      </c>
      <c r="E13">
        <v>0</v>
      </c>
      <c r="F13" s="11">
        <v>0</v>
      </c>
      <c r="G13" s="11">
        <v>1.8173E-8</v>
      </c>
      <c r="H13" s="11">
        <v>0</v>
      </c>
    </row>
    <row r="14" spans="2:12" x14ac:dyDescent="0.25">
      <c r="B14">
        <v>4</v>
      </c>
      <c r="C14" s="11">
        <v>4</v>
      </c>
      <c r="D14">
        <v>416</v>
      </c>
      <c r="E14">
        <v>0</v>
      </c>
      <c r="F14" s="11">
        <v>0</v>
      </c>
      <c r="G14" s="11">
        <v>2.2066999999999998E-8</v>
      </c>
      <c r="H14" s="11">
        <v>0</v>
      </c>
    </row>
    <row r="15" spans="2:12" x14ac:dyDescent="0.25">
      <c r="B15">
        <v>5</v>
      </c>
      <c r="C15" s="11">
        <v>5</v>
      </c>
      <c r="D15">
        <v>414</v>
      </c>
      <c r="E15">
        <v>-1</v>
      </c>
      <c r="F15" s="11">
        <v>0</v>
      </c>
      <c r="G15" s="11">
        <v>1.7494999999999999E-8</v>
      </c>
      <c r="H15" s="11">
        <v>0</v>
      </c>
    </row>
    <row r="16" spans="2:12" x14ac:dyDescent="0.25">
      <c r="B16">
        <v>6</v>
      </c>
      <c r="C16" s="11">
        <v>6</v>
      </c>
      <c r="D16">
        <v>412</v>
      </c>
      <c r="E16">
        <v>0</v>
      </c>
      <c r="F16" s="11">
        <v>0</v>
      </c>
      <c r="G16" s="11">
        <v>1.3979000000000001E-8</v>
      </c>
      <c r="H16" s="11">
        <v>0</v>
      </c>
    </row>
    <row r="17" spans="2:8" x14ac:dyDescent="0.25">
      <c r="B17">
        <v>7</v>
      </c>
      <c r="C17" s="11">
        <v>7</v>
      </c>
      <c r="D17">
        <v>410</v>
      </c>
      <c r="E17">
        <v>0</v>
      </c>
      <c r="F17" s="11">
        <v>0</v>
      </c>
      <c r="G17" s="11">
        <v>1.4248E-8</v>
      </c>
      <c r="H17" s="11">
        <v>0</v>
      </c>
    </row>
    <row r="18" spans="2:8" x14ac:dyDescent="0.25">
      <c r="B18">
        <v>8</v>
      </c>
      <c r="C18" s="11">
        <v>8</v>
      </c>
      <c r="D18">
        <v>408</v>
      </c>
      <c r="E18">
        <v>-1</v>
      </c>
      <c r="F18" s="11">
        <v>0</v>
      </c>
      <c r="G18" s="11">
        <v>1.2145000000000001E-8</v>
      </c>
      <c r="H18" s="11">
        <v>0</v>
      </c>
    </row>
    <row r="19" spans="2:8" x14ac:dyDescent="0.25">
      <c r="B19">
        <v>9</v>
      </c>
      <c r="C19" s="11">
        <v>9</v>
      </c>
      <c r="D19">
        <v>406</v>
      </c>
      <c r="E19">
        <v>0</v>
      </c>
      <c r="F19" s="11">
        <v>0</v>
      </c>
      <c r="G19" s="11">
        <v>1.1102000000000001E-8</v>
      </c>
      <c r="H19" s="11">
        <v>0</v>
      </c>
    </row>
    <row r="20" spans="2:8" x14ac:dyDescent="0.25">
      <c r="B20">
        <v>10</v>
      </c>
      <c r="C20" s="11">
        <v>10</v>
      </c>
      <c r="D20">
        <v>404</v>
      </c>
      <c r="E20">
        <v>-1</v>
      </c>
      <c r="F20" s="11">
        <v>0</v>
      </c>
      <c r="G20" s="11">
        <v>1.1555999999999999E-8</v>
      </c>
      <c r="H20" s="11">
        <v>0</v>
      </c>
    </row>
    <row r="21" spans="2:8" x14ac:dyDescent="0.25">
      <c r="B21">
        <v>11</v>
      </c>
      <c r="C21" s="11">
        <v>11</v>
      </c>
      <c r="D21">
        <v>402</v>
      </c>
      <c r="E21">
        <v>-1</v>
      </c>
      <c r="F21" s="11">
        <v>0</v>
      </c>
      <c r="G21" s="11">
        <v>1.0871E-8</v>
      </c>
      <c r="H21" s="11">
        <v>0</v>
      </c>
    </row>
    <row r="22" spans="2:8" x14ac:dyDescent="0.25">
      <c r="B22">
        <v>12</v>
      </c>
      <c r="C22" s="11">
        <v>12</v>
      </c>
      <c r="D22">
        <v>400</v>
      </c>
      <c r="E22">
        <v>-1</v>
      </c>
      <c r="F22" s="11">
        <v>0</v>
      </c>
      <c r="G22" s="11">
        <v>1.0799E-8</v>
      </c>
      <c r="H22" s="11">
        <v>0</v>
      </c>
    </row>
    <row r="23" spans="2:8" x14ac:dyDescent="0.25">
      <c r="B23">
        <v>13</v>
      </c>
      <c r="C23" s="11">
        <v>13</v>
      </c>
      <c r="D23">
        <v>398</v>
      </c>
      <c r="E23">
        <v>-1</v>
      </c>
      <c r="F23" s="11">
        <v>0</v>
      </c>
      <c r="G23" s="11">
        <v>1.111E-8</v>
      </c>
      <c r="H23" s="11">
        <v>0</v>
      </c>
    </row>
    <row r="24" spans="2:8" x14ac:dyDescent="0.25">
      <c r="B24">
        <v>14</v>
      </c>
      <c r="C24" s="11">
        <v>14</v>
      </c>
      <c r="D24">
        <v>396</v>
      </c>
      <c r="E24">
        <v>-1</v>
      </c>
      <c r="F24" s="11">
        <v>0</v>
      </c>
      <c r="G24" s="11">
        <v>1.0678E-8</v>
      </c>
      <c r="H24" s="11">
        <v>0</v>
      </c>
    </row>
    <row r="25" spans="2:8" x14ac:dyDescent="0.25">
      <c r="B25">
        <v>15</v>
      </c>
      <c r="C25" s="11">
        <v>15</v>
      </c>
      <c r="D25">
        <v>394</v>
      </c>
      <c r="E25">
        <v>0</v>
      </c>
      <c r="F25" s="11">
        <v>0</v>
      </c>
      <c r="G25" s="11">
        <v>1.0582E-8</v>
      </c>
      <c r="H25" s="11">
        <v>0</v>
      </c>
    </row>
    <row r="26" spans="2:8" x14ac:dyDescent="0.25">
      <c r="B26">
        <v>16</v>
      </c>
      <c r="C26" s="11">
        <v>16</v>
      </c>
      <c r="D26">
        <v>392</v>
      </c>
      <c r="E26">
        <v>-1</v>
      </c>
      <c r="F26" s="11">
        <v>0</v>
      </c>
      <c r="G26" s="11">
        <v>1.0638000000000001E-8</v>
      </c>
      <c r="H26" s="11">
        <v>0</v>
      </c>
    </row>
    <row r="27" spans="2:8" x14ac:dyDescent="0.25">
      <c r="B27">
        <v>17</v>
      </c>
      <c r="C27" s="11">
        <v>17</v>
      </c>
      <c r="D27">
        <v>390</v>
      </c>
      <c r="E27">
        <v>0</v>
      </c>
      <c r="F27" s="11">
        <v>0</v>
      </c>
      <c r="G27" s="11">
        <v>1.0207E-8</v>
      </c>
      <c r="H27" s="11">
        <v>0</v>
      </c>
    </row>
    <row r="28" spans="2:8" x14ac:dyDescent="0.25">
      <c r="B28">
        <v>18</v>
      </c>
      <c r="C28" s="11">
        <v>18</v>
      </c>
      <c r="D28">
        <v>388</v>
      </c>
      <c r="E28">
        <v>-1</v>
      </c>
      <c r="F28" s="11">
        <v>0</v>
      </c>
      <c r="G28" s="11">
        <v>1.0061999999999999E-8</v>
      </c>
      <c r="H28" s="11">
        <v>0</v>
      </c>
    </row>
    <row r="29" spans="2:8" x14ac:dyDescent="0.25">
      <c r="B29">
        <v>19</v>
      </c>
      <c r="C29" s="11">
        <v>19</v>
      </c>
      <c r="D29">
        <v>386</v>
      </c>
      <c r="E29">
        <v>0</v>
      </c>
      <c r="F29" s="11">
        <v>0</v>
      </c>
      <c r="G29" s="11">
        <v>9.9499999999999998E-9</v>
      </c>
      <c r="H29" s="11">
        <v>0</v>
      </c>
    </row>
    <row r="30" spans="2:8" x14ac:dyDescent="0.25">
      <c r="B30">
        <v>20</v>
      </c>
      <c r="C30" s="11">
        <v>20</v>
      </c>
      <c r="D30">
        <v>384</v>
      </c>
      <c r="E30">
        <v>-1</v>
      </c>
      <c r="F30" s="11">
        <v>0</v>
      </c>
      <c r="G30" s="11">
        <v>9.5328999999999996E-9</v>
      </c>
      <c r="H30" s="11">
        <v>0</v>
      </c>
    </row>
    <row r="31" spans="2:8" x14ac:dyDescent="0.25">
      <c r="B31">
        <v>21</v>
      </c>
      <c r="C31" s="11">
        <v>21</v>
      </c>
      <c r="D31">
        <v>382</v>
      </c>
      <c r="E31">
        <v>-1</v>
      </c>
      <c r="F31" s="11">
        <v>0</v>
      </c>
      <c r="G31" s="11">
        <v>9.3767999999999993E-9</v>
      </c>
      <c r="H31" s="11">
        <v>0</v>
      </c>
    </row>
    <row r="32" spans="2:8" x14ac:dyDescent="0.25">
      <c r="B32">
        <v>22</v>
      </c>
      <c r="C32" s="11">
        <v>22</v>
      </c>
      <c r="D32">
        <v>380</v>
      </c>
      <c r="E32">
        <v>0</v>
      </c>
      <c r="F32" s="11">
        <v>0</v>
      </c>
      <c r="G32" s="11">
        <v>9.2091999999999992E-9</v>
      </c>
      <c r="H32" s="11">
        <v>0</v>
      </c>
    </row>
    <row r="33" spans="2:8" x14ac:dyDescent="0.25">
      <c r="B33">
        <v>23</v>
      </c>
      <c r="C33" s="11">
        <v>23</v>
      </c>
      <c r="D33">
        <v>378</v>
      </c>
      <c r="E33">
        <v>-1</v>
      </c>
      <c r="F33" s="11">
        <v>0</v>
      </c>
      <c r="G33" s="11">
        <v>8.8354999999999999E-9</v>
      </c>
      <c r="H33" s="11">
        <v>0</v>
      </c>
    </row>
    <row r="34" spans="2:8" x14ac:dyDescent="0.25">
      <c r="B34">
        <v>24</v>
      </c>
      <c r="C34" s="11">
        <v>24</v>
      </c>
      <c r="D34">
        <v>376</v>
      </c>
      <c r="E34">
        <v>-1</v>
      </c>
      <c r="F34" s="11">
        <v>0</v>
      </c>
      <c r="G34" s="11">
        <v>8.7145E-9</v>
      </c>
      <c r="H34" s="11">
        <v>0</v>
      </c>
    </row>
    <row r="35" spans="2:8" x14ac:dyDescent="0.25">
      <c r="B35">
        <v>25</v>
      </c>
      <c r="C35" s="11">
        <v>25</v>
      </c>
      <c r="D35">
        <v>374</v>
      </c>
      <c r="E35">
        <v>-1</v>
      </c>
      <c r="F35" s="11">
        <v>0</v>
      </c>
      <c r="G35" s="11">
        <v>8.5365E-9</v>
      </c>
      <c r="H35" s="11">
        <v>0</v>
      </c>
    </row>
    <row r="36" spans="2:8" x14ac:dyDescent="0.25">
      <c r="B36">
        <v>26</v>
      </c>
      <c r="C36" s="11">
        <v>26</v>
      </c>
      <c r="D36">
        <v>372</v>
      </c>
      <c r="E36">
        <v>0</v>
      </c>
      <c r="F36" s="11">
        <v>0</v>
      </c>
      <c r="G36" s="11">
        <v>8.2699000000000002E-9</v>
      </c>
      <c r="H36" s="11">
        <v>0</v>
      </c>
    </row>
    <row r="37" spans="2:8" x14ac:dyDescent="0.25">
      <c r="B37">
        <v>27</v>
      </c>
      <c r="C37" s="11">
        <v>27</v>
      </c>
      <c r="D37">
        <v>370</v>
      </c>
      <c r="E37">
        <v>0</v>
      </c>
      <c r="F37" s="11">
        <v>0</v>
      </c>
      <c r="G37" s="11">
        <v>8.1770999999999998E-9</v>
      </c>
      <c r="H37" s="11">
        <v>0</v>
      </c>
    </row>
    <row r="38" spans="2:8" x14ac:dyDescent="0.25">
      <c r="B38">
        <v>28</v>
      </c>
      <c r="C38" s="11">
        <v>28</v>
      </c>
      <c r="D38">
        <v>368</v>
      </c>
      <c r="E38">
        <v>-1</v>
      </c>
      <c r="F38" s="11">
        <v>0</v>
      </c>
      <c r="G38" s="11">
        <v>7.9717000000000005E-9</v>
      </c>
      <c r="H38" s="11">
        <v>0</v>
      </c>
    </row>
    <row r="39" spans="2:8" x14ac:dyDescent="0.25">
      <c r="B39">
        <v>29</v>
      </c>
      <c r="C39" s="11">
        <v>29</v>
      </c>
      <c r="D39">
        <v>366</v>
      </c>
      <c r="E39">
        <v>-1</v>
      </c>
      <c r="F39" s="11">
        <v>0</v>
      </c>
      <c r="G39" s="11">
        <v>7.6951999999999996E-9</v>
      </c>
      <c r="H39" s="11">
        <v>0</v>
      </c>
    </row>
    <row r="40" spans="2:8" x14ac:dyDescent="0.25">
      <c r="B40">
        <v>30</v>
      </c>
      <c r="C40" s="11">
        <v>30</v>
      </c>
      <c r="D40">
        <v>364</v>
      </c>
      <c r="E40">
        <v>-1</v>
      </c>
      <c r="F40" s="11">
        <v>0</v>
      </c>
      <c r="G40" s="11">
        <v>7.5584999999999995E-9</v>
      </c>
      <c r="H40" s="11">
        <v>0</v>
      </c>
    </row>
    <row r="41" spans="2:8" x14ac:dyDescent="0.25">
      <c r="B41">
        <v>31</v>
      </c>
      <c r="C41" s="11">
        <v>31</v>
      </c>
      <c r="D41">
        <v>362</v>
      </c>
      <c r="E41">
        <v>-1</v>
      </c>
      <c r="F41" s="11">
        <v>0</v>
      </c>
      <c r="G41" s="11">
        <v>7.3399999999999999E-9</v>
      </c>
      <c r="H41" s="11">
        <v>0</v>
      </c>
    </row>
    <row r="42" spans="2:8" x14ac:dyDescent="0.25">
      <c r="B42">
        <v>32</v>
      </c>
      <c r="C42" s="11">
        <v>32</v>
      </c>
      <c r="D42">
        <v>360</v>
      </c>
      <c r="E42">
        <v>-1</v>
      </c>
      <c r="F42" s="11">
        <v>0</v>
      </c>
      <c r="G42" s="11">
        <v>7.1317000000000001E-9</v>
      </c>
      <c r="H42" s="11">
        <v>0</v>
      </c>
    </row>
    <row r="43" spans="2:8" x14ac:dyDescent="0.25">
      <c r="B43">
        <v>33</v>
      </c>
      <c r="C43" s="11">
        <v>33</v>
      </c>
      <c r="D43">
        <v>358</v>
      </c>
      <c r="E43">
        <v>-1</v>
      </c>
      <c r="F43" s="11">
        <v>0</v>
      </c>
      <c r="G43" s="11">
        <v>7.0565000000000002E-9</v>
      </c>
      <c r="H43" s="11">
        <v>0</v>
      </c>
    </row>
    <row r="44" spans="2:8" x14ac:dyDescent="0.25">
      <c r="B44">
        <v>34</v>
      </c>
      <c r="C44" s="11">
        <v>34</v>
      </c>
      <c r="D44">
        <v>356</v>
      </c>
      <c r="E44">
        <v>-1</v>
      </c>
      <c r="F44" s="11">
        <v>0</v>
      </c>
      <c r="G44" s="11">
        <v>6.9342000000000003E-9</v>
      </c>
      <c r="H44" s="11">
        <v>0</v>
      </c>
    </row>
    <row r="45" spans="2:8" x14ac:dyDescent="0.25">
      <c r="B45">
        <v>35</v>
      </c>
      <c r="C45" s="11">
        <v>35</v>
      </c>
      <c r="D45">
        <v>354</v>
      </c>
      <c r="E45">
        <v>-1</v>
      </c>
      <c r="F45" s="11">
        <v>0</v>
      </c>
      <c r="G45" s="11">
        <v>6.8152999999999998E-9</v>
      </c>
      <c r="H45" s="11">
        <v>0</v>
      </c>
    </row>
    <row r="46" spans="2:8" x14ac:dyDescent="0.25">
      <c r="B46">
        <v>36</v>
      </c>
      <c r="C46" s="11">
        <v>36</v>
      </c>
      <c r="D46">
        <v>352</v>
      </c>
      <c r="E46">
        <v>-1</v>
      </c>
      <c r="F46" s="11">
        <v>0</v>
      </c>
      <c r="G46" s="11">
        <v>6.7914000000000003E-9</v>
      </c>
      <c r="H46" s="11">
        <v>0</v>
      </c>
    </row>
    <row r="47" spans="2:8" x14ac:dyDescent="0.25">
      <c r="B47">
        <v>37</v>
      </c>
      <c r="C47" s="11">
        <v>37</v>
      </c>
      <c r="D47">
        <v>350</v>
      </c>
      <c r="E47">
        <v>-1</v>
      </c>
      <c r="F47" s="11">
        <v>0</v>
      </c>
      <c r="G47" s="11">
        <v>6.7333999999999999E-9</v>
      </c>
      <c r="H47" s="11">
        <v>0</v>
      </c>
    </row>
    <row r="48" spans="2:8" x14ac:dyDescent="0.25">
      <c r="B48">
        <v>38</v>
      </c>
      <c r="C48" s="11">
        <v>38</v>
      </c>
      <c r="D48">
        <v>348</v>
      </c>
      <c r="E48">
        <v>-1</v>
      </c>
      <c r="F48" s="11">
        <v>0</v>
      </c>
      <c r="G48" s="11">
        <v>6.6696000000000002E-9</v>
      </c>
      <c r="H48" s="11">
        <v>0</v>
      </c>
    </row>
    <row r="49" spans="2:8" x14ac:dyDescent="0.25">
      <c r="B49">
        <v>39</v>
      </c>
      <c r="C49" s="11">
        <v>39</v>
      </c>
      <c r="D49">
        <v>346</v>
      </c>
      <c r="E49">
        <v>0</v>
      </c>
      <c r="F49" s="11">
        <v>0</v>
      </c>
      <c r="G49" s="11">
        <v>6.6422999999999997E-9</v>
      </c>
      <c r="H49" s="11">
        <v>0</v>
      </c>
    </row>
    <row r="50" spans="2:8" x14ac:dyDescent="0.25">
      <c r="B50">
        <v>40</v>
      </c>
      <c r="C50" s="11">
        <v>40</v>
      </c>
      <c r="D50">
        <v>344</v>
      </c>
      <c r="E50">
        <v>-1</v>
      </c>
      <c r="F50" s="11">
        <v>0</v>
      </c>
      <c r="G50" s="11">
        <v>6.5763999999999997E-9</v>
      </c>
      <c r="H50" s="11">
        <v>0</v>
      </c>
    </row>
    <row r="51" spans="2:8" x14ac:dyDescent="0.25">
      <c r="B51">
        <v>41</v>
      </c>
      <c r="C51" s="11">
        <v>41</v>
      </c>
      <c r="D51">
        <v>342</v>
      </c>
      <c r="E51">
        <v>-1</v>
      </c>
      <c r="F51" s="11">
        <v>0</v>
      </c>
      <c r="G51" s="11">
        <v>6.5043000000000004E-9</v>
      </c>
      <c r="H51" s="11">
        <v>0</v>
      </c>
    </row>
    <row r="52" spans="2:8" x14ac:dyDescent="0.25">
      <c r="B52">
        <v>42</v>
      </c>
      <c r="C52" s="11">
        <v>42</v>
      </c>
      <c r="D52">
        <v>340</v>
      </c>
      <c r="E52">
        <v>-1</v>
      </c>
      <c r="F52" s="11">
        <v>0</v>
      </c>
      <c r="G52" s="11">
        <v>6.5009999999999998E-9</v>
      </c>
      <c r="H52" s="11">
        <v>0</v>
      </c>
    </row>
    <row r="53" spans="2:8" x14ac:dyDescent="0.25">
      <c r="B53">
        <v>43</v>
      </c>
      <c r="C53" s="11">
        <v>43</v>
      </c>
      <c r="D53">
        <v>338</v>
      </c>
      <c r="E53">
        <v>-1</v>
      </c>
      <c r="F53" s="11">
        <v>0</v>
      </c>
      <c r="G53" s="11">
        <v>6.4201999999999998E-9</v>
      </c>
      <c r="H53" s="11">
        <v>0</v>
      </c>
    </row>
    <row r="54" spans="2:8" x14ac:dyDescent="0.25">
      <c r="B54">
        <v>44</v>
      </c>
      <c r="C54" s="11">
        <v>44</v>
      </c>
      <c r="D54">
        <v>336</v>
      </c>
      <c r="E54">
        <v>-1</v>
      </c>
      <c r="F54" s="11">
        <v>0</v>
      </c>
      <c r="G54" s="11">
        <v>6.3776999999999996E-9</v>
      </c>
      <c r="H54" s="11">
        <v>0</v>
      </c>
    </row>
    <row r="55" spans="2:8" x14ac:dyDescent="0.25">
      <c r="B55">
        <v>45</v>
      </c>
      <c r="C55" s="11">
        <v>45</v>
      </c>
      <c r="D55">
        <v>334</v>
      </c>
      <c r="E55">
        <v>-1</v>
      </c>
      <c r="F55" s="11">
        <v>0</v>
      </c>
      <c r="G55" s="11">
        <v>6.3925E-9</v>
      </c>
      <c r="H55" s="11">
        <v>0</v>
      </c>
    </row>
    <row r="56" spans="2:8" x14ac:dyDescent="0.25">
      <c r="B56">
        <v>46</v>
      </c>
      <c r="C56" s="11">
        <v>46</v>
      </c>
      <c r="D56">
        <v>332</v>
      </c>
      <c r="E56">
        <v>0</v>
      </c>
      <c r="F56" s="11">
        <v>0</v>
      </c>
      <c r="G56" s="11">
        <v>6.3181000000000003E-9</v>
      </c>
      <c r="H56" s="11">
        <v>0</v>
      </c>
    </row>
    <row r="57" spans="2:8" x14ac:dyDescent="0.25">
      <c r="B57">
        <v>47</v>
      </c>
      <c r="C57" s="11">
        <v>47</v>
      </c>
      <c r="D57">
        <v>330</v>
      </c>
      <c r="E57">
        <v>-1</v>
      </c>
      <c r="F57" s="11">
        <v>0</v>
      </c>
      <c r="G57" s="11">
        <v>6.3229999999999998E-9</v>
      </c>
      <c r="H57" s="11">
        <v>0</v>
      </c>
    </row>
    <row r="58" spans="2:8" x14ac:dyDescent="0.25">
      <c r="B58">
        <v>48</v>
      </c>
      <c r="C58" s="11">
        <v>48</v>
      </c>
      <c r="D58">
        <v>328</v>
      </c>
      <c r="E58">
        <v>0</v>
      </c>
      <c r="F58" s="11">
        <v>0</v>
      </c>
      <c r="G58" s="11">
        <v>6.3436000000000003E-9</v>
      </c>
      <c r="H58" s="11">
        <v>0</v>
      </c>
    </row>
    <row r="59" spans="2:8" x14ac:dyDescent="0.25">
      <c r="B59">
        <v>49</v>
      </c>
      <c r="C59" s="11">
        <v>49</v>
      </c>
      <c r="D59">
        <v>326</v>
      </c>
      <c r="E59">
        <v>0</v>
      </c>
      <c r="F59" s="11">
        <v>0</v>
      </c>
      <c r="G59" s="11">
        <v>6.3006000000000003E-9</v>
      </c>
      <c r="H59" s="11">
        <v>0</v>
      </c>
    </row>
    <row r="60" spans="2:8" x14ac:dyDescent="0.25">
      <c r="B60">
        <v>50</v>
      </c>
      <c r="C60" s="11">
        <v>50</v>
      </c>
      <c r="D60">
        <v>324</v>
      </c>
      <c r="E60">
        <v>-1</v>
      </c>
      <c r="F60" s="11">
        <v>0</v>
      </c>
      <c r="G60" s="11">
        <v>6.3549E-9</v>
      </c>
      <c r="H60" s="11">
        <v>0</v>
      </c>
    </row>
    <row r="61" spans="2:8" x14ac:dyDescent="0.25">
      <c r="B61">
        <v>51</v>
      </c>
      <c r="C61" s="11">
        <v>51</v>
      </c>
      <c r="D61">
        <v>322</v>
      </c>
      <c r="E61">
        <v>0</v>
      </c>
      <c r="F61" s="11">
        <v>0</v>
      </c>
      <c r="G61" s="11">
        <v>6.3698000000000001E-9</v>
      </c>
      <c r="H61" s="11">
        <v>0</v>
      </c>
    </row>
    <row r="62" spans="2:8" x14ac:dyDescent="0.25">
      <c r="B62">
        <v>52</v>
      </c>
      <c r="C62" s="11">
        <v>52</v>
      </c>
      <c r="D62">
        <v>320</v>
      </c>
      <c r="E62">
        <v>-1</v>
      </c>
      <c r="F62" s="11">
        <v>0</v>
      </c>
      <c r="G62" s="11">
        <v>6.3544999999999999E-9</v>
      </c>
      <c r="H62" s="11">
        <v>0</v>
      </c>
    </row>
    <row r="63" spans="2:8" x14ac:dyDescent="0.25">
      <c r="B63">
        <v>53</v>
      </c>
      <c r="C63" s="11">
        <v>53</v>
      </c>
      <c r="D63">
        <v>318</v>
      </c>
      <c r="E63">
        <v>-1</v>
      </c>
      <c r="F63" s="11">
        <v>0</v>
      </c>
      <c r="G63" s="11">
        <v>6.4445000000000002E-9</v>
      </c>
      <c r="H63" s="11">
        <v>0</v>
      </c>
    </row>
    <row r="64" spans="2:8" x14ac:dyDescent="0.25">
      <c r="B64">
        <v>54</v>
      </c>
      <c r="C64" s="11">
        <v>54</v>
      </c>
      <c r="D64">
        <v>316</v>
      </c>
      <c r="E64">
        <v>-1</v>
      </c>
      <c r="F64" s="11">
        <v>0</v>
      </c>
      <c r="G64" s="11">
        <v>6.4648000000000003E-9</v>
      </c>
      <c r="H64" s="11">
        <v>0</v>
      </c>
    </row>
    <row r="65" spans="2:8" x14ac:dyDescent="0.25">
      <c r="B65">
        <v>55</v>
      </c>
      <c r="C65" s="11">
        <v>55</v>
      </c>
      <c r="D65">
        <v>314</v>
      </c>
      <c r="E65">
        <v>-1</v>
      </c>
      <c r="F65" s="11">
        <v>0</v>
      </c>
      <c r="G65" s="11">
        <v>6.5041000000000003E-9</v>
      </c>
      <c r="H65" s="11">
        <v>0</v>
      </c>
    </row>
    <row r="66" spans="2:8" x14ac:dyDescent="0.25">
      <c r="B66">
        <v>56</v>
      </c>
      <c r="C66" s="11">
        <v>56</v>
      </c>
      <c r="D66">
        <v>312</v>
      </c>
      <c r="E66">
        <v>-1</v>
      </c>
      <c r="F66" s="11">
        <v>0</v>
      </c>
      <c r="G66" s="11">
        <v>6.6117000000000002E-9</v>
      </c>
      <c r="H66" s="11">
        <v>0</v>
      </c>
    </row>
    <row r="67" spans="2:8" x14ac:dyDescent="0.25">
      <c r="B67">
        <v>57</v>
      </c>
      <c r="C67" s="11">
        <v>57</v>
      </c>
      <c r="D67">
        <v>310</v>
      </c>
      <c r="E67">
        <v>-1</v>
      </c>
      <c r="F67" s="11">
        <v>0</v>
      </c>
      <c r="G67" s="11">
        <v>6.6352000000000004E-9</v>
      </c>
      <c r="H67" s="11">
        <v>0</v>
      </c>
    </row>
    <row r="68" spans="2:8" x14ac:dyDescent="0.25">
      <c r="B68">
        <v>58</v>
      </c>
      <c r="C68" s="11">
        <v>58</v>
      </c>
      <c r="D68">
        <v>308</v>
      </c>
      <c r="E68">
        <v>-1</v>
      </c>
      <c r="F68" s="11">
        <v>0</v>
      </c>
      <c r="G68" s="11">
        <v>6.6532000000000001E-9</v>
      </c>
      <c r="H68" s="11">
        <v>0</v>
      </c>
    </row>
    <row r="69" spans="2:8" x14ac:dyDescent="0.25">
      <c r="B69">
        <v>59</v>
      </c>
      <c r="C69" s="11">
        <v>59</v>
      </c>
      <c r="D69">
        <v>306</v>
      </c>
      <c r="E69">
        <v>-1</v>
      </c>
      <c r="F69" s="11">
        <v>0</v>
      </c>
      <c r="G69" s="11">
        <v>6.7113999999999998E-9</v>
      </c>
      <c r="H69" s="11">
        <v>0</v>
      </c>
    </row>
    <row r="70" spans="2:8" x14ac:dyDescent="0.25">
      <c r="B70">
        <v>60</v>
      </c>
      <c r="C70" s="11">
        <v>60</v>
      </c>
      <c r="D70">
        <v>304</v>
      </c>
      <c r="E70">
        <v>-1</v>
      </c>
      <c r="F70" s="11">
        <v>0</v>
      </c>
      <c r="G70" s="11">
        <v>6.7249000000000002E-9</v>
      </c>
      <c r="H70" s="11">
        <v>0</v>
      </c>
    </row>
    <row r="71" spans="2:8" x14ac:dyDescent="0.25">
      <c r="B71">
        <v>61</v>
      </c>
      <c r="C71" s="11">
        <v>61</v>
      </c>
      <c r="D71">
        <v>302</v>
      </c>
      <c r="E71">
        <v>-1</v>
      </c>
      <c r="F71" s="11">
        <v>0</v>
      </c>
      <c r="G71" s="11">
        <v>6.7433999999999997E-9</v>
      </c>
      <c r="H71" s="11">
        <v>0</v>
      </c>
    </row>
    <row r="72" spans="2:8" x14ac:dyDescent="0.25">
      <c r="B72">
        <v>62</v>
      </c>
      <c r="C72" s="11">
        <v>62</v>
      </c>
      <c r="D72">
        <v>300</v>
      </c>
      <c r="E72">
        <v>-1</v>
      </c>
      <c r="F72" s="11">
        <v>0</v>
      </c>
      <c r="G72" s="11">
        <v>6.7793000000000004E-9</v>
      </c>
      <c r="H72" s="11">
        <v>0</v>
      </c>
    </row>
    <row r="73" spans="2:8" x14ac:dyDescent="0.25">
      <c r="B73">
        <v>63</v>
      </c>
      <c r="C73" s="11">
        <v>63</v>
      </c>
      <c r="D73">
        <v>298</v>
      </c>
      <c r="E73">
        <v>-1</v>
      </c>
      <c r="F73" s="11">
        <v>0</v>
      </c>
      <c r="G73" s="11">
        <v>6.7471000000000004E-9</v>
      </c>
      <c r="H73" s="11">
        <v>0</v>
      </c>
    </row>
    <row r="74" spans="2:8" x14ac:dyDescent="0.25">
      <c r="B74">
        <v>64</v>
      </c>
      <c r="C74" s="11">
        <v>64</v>
      </c>
      <c r="D74">
        <v>296</v>
      </c>
      <c r="E74">
        <v>-1</v>
      </c>
      <c r="F74" s="11">
        <v>0</v>
      </c>
      <c r="G74" s="11">
        <v>6.7353000000000001E-9</v>
      </c>
      <c r="H74" s="11">
        <v>0</v>
      </c>
    </row>
    <row r="75" spans="2:8" x14ac:dyDescent="0.25">
      <c r="B75">
        <v>65</v>
      </c>
      <c r="C75" s="11">
        <v>65</v>
      </c>
      <c r="D75">
        <v>294</v>
      </c>
      <c r="E75">
        <v>-1</v>
      </c>
      <c r="F75" s="11">
        <v>0</v>
      </c>
      <c r="G75" s="11">
        <v>6.7271000000000001E-9</v>
      </c>
      <c r="H75" s="11">
        <v>0</v>
      </c>
    </row>
    <row r="76" spans="2:8" x14ac:dyDescent="0.25">
      <c r="B76">
        <v>66</v>
      </c>
      <c r="C76" s="11">
        <v>66</v>
      </c>
      <c r="D76">
        <v>292</v>
      </c>
      <c r="E76">
        <v>-1</v>
      </c>
      <c r="F76" s="11">
        <v>0</v>
      </c>
      <c r="G76" s="11">
        <v>6.6780000000000003E-9</v>
      </c>
      <c r="H76" s="11">
        <v>0</v>
      </c>
    </row>
    <row r="77" spans="2:8" x14ac:dyDescent="0.25">
      <c r="B77">
        <v>67</v>
      </c>
      <c r="C77" s="11">
        <v>67</v>
      </c>
      <c r="D77">
        <v>290</v>
      </c>
      <c r="E77">
        <v>-1</v>
      </c>
      <c r="F77" s="11">
        <v>0</v>
      </c>
      <c r="G77" s="11">
        <v>6.6357000000000002E-9</v>
      </c>
      <c r="H77" s="11">
        <v>0</v>
      </c>
    </row>
    <row r="78" spans="2:8" x14ac:dyDescent="0.25">
      <c r="B78">
        <v>68</v>
      </c>
      <c r="C78" s="11">
        <v>68</v>
      </c>
      <c r="D78">
        <v>288</v>
      </c>
      <c r="E78">
        <v>-1</v>
      </c>
      <c r="F78" s="11">
        <v>0</v>
      </c>
      <c r="G78" s="11">
        <v>6.5817999999999998E-9</v>
      </c>
      <c r="H78" s="11">
        <v>0</v>
      </c>
    </row>
    <row r="79" spans="2:8" x14ac:dyDescent="0.25">
      <c r="B79">
        <v>69</v>
      </c>
      <c r="C79" s="11">
        <v>69</v>
      </c>
      <c r="D79">
        <v>286</v>
      </c>
      <c r="E79">
        <v>-1</v>
      </c>
      <c r="F79" s="11">
        <v>0</v>
      </c>
      <c r="G79" s="11">
        <v>6.5383000000000001E-9</v>
      </c>
      <c r="H79" s="11">
        <v>0</v>
      </c>
    </row>
    <row r="80" spans="2:8" x14ac:dyDescent="0.25">
      <c r="B80">
        <v>70</v>
      </c>
      <c r="C80" s="11">
        <v>70</v>
      </c>
      <c r="D80">
        <v>284</v>
      </c>
      <c r="E80">
        <v>-1</v>
      </c>
      <c r="F80" s="11">
        <v>0</v>
      </c>
      <c r="G80" s="11">
        <v>6.5206E-9</v>
      </c>
      <c r="H80" s="11">
        <v>0</v>
      </c>
    </row>
    <row r="81" spans="2:8" x14ac:dyDescent="0.25">
      <c r="B81">
        <v>71</v>
      </c>
      <c r="C81" s="11">
        <v>71</v>
      </c>
      <c r="D81">
        <v>282</v>
      </c>
      <c r="E81">
        <v>-1</v>
      </c>
      <c r="F81" s="11">
        <v>0</v>
      </c>
      <c r="G81" s="11">
        <v>6.5072E-9</v>
      </c>
      <c r="H81" s="11">
        <v>0</v>
      </c>
    </row>
    <row r="82" spans="2:8" x14ac:dyDescent="0.25">
      <c r="B82">
        <v>73</v>
      </c>
      <c r="C82" s="11">
        <v>73</v>
      </c>
      <c r="D82">
        <v>278</v>
      </c>
      <c r="E82">
        <v>-1</v>
      </c>
      <c r="F82" s="11">
        <v>0</v>
      </c>
      <c r="G82" s="11">
        <v>6.5506999999999997E-9</v>
      </c>
      <c r="H82" s="11">
        <v>0</v>
      </c>
    </row>
    <row r="83" spans="2:8" x14ac:dyDescent="0.25">
      <c r="B83">
        <v>75</v>
      </c>
      <c r="C83" s="11">
        <v>75</v>
      </c>
      <c r="D83">
        <v>274</v>
      </c>
      <c r="E83">
        <v>-1</v>
      </c>
      <c r="F83" s="11">
        <v>0</v>
      </c>
      <c r="G83" s="11">
        <v>6.5560999999999997E-9</v>
      </c>
      <c r="H83" s="11">
        <v>0</v>
      </c>
    </row>
    <row r="84" spans="2:8" x14ac:dyDescent="0.25">
      <c r="B84">
        <v>77</v>
      </c>
      <c r="C84" s="11">
        <v>77</v>
      </c>
      <c r="D84">
        <v>270</v>
      </c>
      <c r="E84">
        <v>-1</v>
      </c>
      <c r="F84" s="11">
        <v>0</v>
      </c>
      <c r="G84" s="11">
        <v>6.6162000000000004E-9</v>
      </c>
      <c r="H84" s="11">
        <v>0</v>
      </c>
    </row>
    <row r="85" spans="2:8" x14ac:dyDescent="0.25">
      <c r="B85">
        <v>79</v>
      </c>
      <c r="C85" s="11">
        <v>79</v>
      </c>
      <c r="D85">
        <v>266</v>
      </c>
      <c r="E85">
        <v>-1</v>
      </c>
      <c r="F85" s="11">
        <v>0</v>
      </c>
      <c r="G85" s="11">
        <v>6.6821999999999999E-9</v>
      </c>
      <c r="H85" s="11">
        <v>0</v>
      </c>
    </row>
    <row r="86" spans="2:8" x14ac:dyDescent="0.25">
      <c r="B86">
        <v>81</v>
      </c>
      <c r="C86" s="11">
        <v>81</v>
      </c>
      <c r="D86">
        <v>262</v>
      </c>
      <c r="E86">
        <v>-1</v>
      </c>
      <c r="F86" s="11">
        <v>0</v>
      </c>
      <c r="G86" s="11">
        <v>6.6560999999999998E-9</v>
      </c>
      <c r="H86" s="11">
        <v>0</v>
      </c>
    </row>
    <row r="87" spans="2:8" x14ac:dyDescent="0.25">
      <c r="B87">
        <v>83</v>
      </c>
      <c r="C87" s="11">
        <v>83</v>
      </c>
      <c r="D87">
        <v>258</v>
      </c>
      <c r="E87">
        <v>-1</v>
      </c>
      <c r="F87" s="11">
        <v>0</v>
      </c>
      <c r="G87" s="11">
        <v>6.6638000000000001E-9</v>
      </c>
      <c r="H87" s="11">
        <v>0</v>
      </c>
    </row>
    <row r="88" spans="2:8" x14ac:dyDescent="0.25">
      <c r="B88">
        <v>85</v>
      </c>
      <c r="C88" s="11">
        <v>85</v>
      </c>
      <c r="D88">
        <v>254</v>
      </c>
      <c r="E88">
        <v>-1</v>
      </c>
      <c r="F88" s="11">
        <v>0</v>
      </c>
      <c r="G88" s="11">
        <v>6.6540000000000004E-9</v>
      </c>
      <c r="H88" s="11">
        <v>0</v>
      </c>
    </row>
    <row r="89" spans="2:8" x14ac:dyDescent="0.25">
      <c r="B89">
        <v>87</v>
      </c>
      <c r="C89" s="11">
        <v>87</v>
      </c>
      <c r="D89">
        <v>250</v>
      </c>
      <c r="E89">
        <v>-1</v>
      </c>
      <c r="F89" s="11">
        <v>0</v>
      </c>
      <c r="G89" s="11">
        <v>6.6195999999999998E-9</v>
      </c>
      <c r="H89" s="11">
        <v>0</v>
      </c>
    </row>
    <row r="90" spans="2:8" x14ac:dyDescent="0.25">
      <c r="B90">
        <v>89</v>
      </c>
      <c r="C90" s="11">
        <v>89</v>
      </c>
      <c r="D90">
        <v>246</v>
      </c>
      <c r="E90">
        <v>-1</v>
      </c>
      <c r="F90" s="11">
        <v>0</v>
      </c>
      <c r="G90" s="11">
        <v>6.5765000000000002E-9</v>
      </c>
      <c r="H90" s="11">
        <v>0</v>
      </c>
    </row>
    <row r="91" spans="2:8" x14ac:dyDescent="0.25">
      <c r="B91">
        <v>91</v>
      </c>
      <c r="C91" s="11">
        <v>91</v>
      </c>
      <c r="D91">
        <v>242</v>
      </c>
      <c r="E91">
        <v>-1</v>
      </c>
      <c r="F91" s="11">
        <v>0</v>
      </c>
      <c r="G91" s="11">
        <v>6.5022000000000001E-9</v>
      </c>
      <c r="H91" s="11">
        <v>0</v>
      </c>
    </row>
    <row r="92" spans="2:8" x14ac:dyDescent="0.25">
      <c r="B92">
        <v>93</v>
      </c>
      <c r="C92" s="11">
        <v>93</v>
      </c>
      <c r="D92">
        <v>238</v>
      </c>
      <c r="E92">
        <v>-1</v>
      </c>
      <c r="F92" s="11">
        <v>0</v>
      </c>
      <c r="G92" s="11">
        <v>6.4698999999999998E-9</v>
      </c>
      <c r="H92" s="11">
        <v>0</v>
      </c>
    </row>
    <row r="93" spans="2:8" x14ac:dyDescent="0.25">
      <c r="B93">
        <v>95</v>
      </c>
      <c r="C93" s="11">
        <v>95</v>
      </c>
      <c r="D93">
        <v>234</v>
      </c>
      <c r="E93">
        <v>-1</v>
      </c>
      <c r="F93" s="11">
        <v>0</v>
      </c>
      <c r="G93" s="11">
        <v>6.4389999999999998E-9</v>
      </c>
      <c r="H93" s="11">
        <v>0</v>
      </c>
    </row>
    <row r="94" spans="2:8" x14ac:dyDescent="0.25">
      <c r="B94">
        <v>97</v>
      </c>
      <c r="C94" s="11">
        <v>97</v>
      </c>
      <c r="D94">
        <v>230</v>
      </c>
      <c r="E94">
        <v>-1</v>
      </c>
      <c r="F94" s="11">
        <v>0</v>
      </c>
      <c r="G94" s="11">
        <v>6.4052999999999998E-9</v>
      </c>
      <c r="H94" s="11">
        <v>0</v>
      </c>
    </row>
    <row r="95" spans="2:8" x14ac:dyDescent="0.25">
      <c r="B95">
        <v>99</v>
      </c>
      <c r="C95" s="11">
        <v>99</v>
      </c>
      <c r="D95">
        <v>226</v>
      </c>
      <c r="E95">
        <v>-1</v>
      </c>
      <c r="F95" s="11">
        <v>0</v>
      </c>
      <c r="G95" s="11">
        <v>6.4100999999999996E-9</v>
      </c>
      <c r="H95" s="11">
        <v>0</v>
      </c>
    </row>
    <row r="96" spans="2:8" x14ac:dyDescent="0.25">
      <c r="B96">
        <v>101</v>
      </c>
      <c r="C96" s="11">
        <v>101</v>
      </c>
      <c r="D96">
        <v>222</v>
      </c>
      <c r="E96">
        <v>-1</v>
      </c>
      <c r="F96" s="11">
        <v>0</v>
      </c>
      <c r="G96" s="11">
        <v>6.4277E-9</v>
      </c>
      <c r="H96" s="11">
        <v>0</v>
      </c>
    </row>
    <row r="97" spans="2:8" x14ac:dyDescent="0.25">
      <c r="B97">
        <v>103</v>
      </c>
      <c r="C97" s="11">
        <v>103</v>
      </c>
      <c r="D97">
        <v>218</v>
      </c>
      <c r="E97">
        <v>-1</v>
      </c>
      <c r="F97" s="11">
        <v>0</v>
      </c>
      <c r="G97" s="11">
        <v>6.4562999999999997E-9</v>
      </c>
      <c r="H97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1.000148E-2</v>
      </c>
    </row>
    <row r="4" spans="2:12" x14ac:dyDescent="0.25">
      <c r="B4" t="s">
        <v>29</v>
      </c>
      <c r="C4" t="s">
        <v>28</v>
      </c>
      <c r="D4" s="11">
        <v>1.0001100000000001E-2</v>
      </c>
    </row>
    <row r="5" spans="2:12" x14ac:dyDescent="0.25">
      <c r="B5" t="s">
        <v>30</v>
      </c>
      <c r="C5" t="s">
        <v>28</v>
      </c>
      <c r="D5" s="11">
        <v>1.000126E-2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6.4707999999999999E-8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0</v>
      </c>
      <c r="F12" s="11">
        <v>0</v>
      </c>
      <c r="G12" s="11">
        <v>2.7972999999999998E-8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1.7234999999999998E-8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1</v>
      </c>
      <c r="F14" s="11">
        <v>0</v>
      </c>
      <c r="G14" s="11">
        <v>2.1314999999999999E-8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-1</v>
      </c>
      <c r="F15" s="11">
        <v>0</v>
      </c>
      <c r="G15" s="11">
        <v>1.4780000000000001E-8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-1</v>
      </c>
      <c r="F16" s="11">
        <v>0</v>
      </c>
      <c r="G16" s="11">
        <v>1.3939E-8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-1</v>
      </c>
      <c r="F17" s="11">
        <v>0</v>
      </c>
      <c r="G17" s="11">
        <v>1.4264E-8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-2</v>
      </c>
      <c r="F18" s="11">
        <v>0</v>
      </c>
      <c r="G18" s="11">
        <v>1.2474999999999999E-8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1.2948E-8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1.2452E-8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-2</v>
      </c>
      <c r="F21" s="11">
        <v>0</v>
      </c>
      <c r="G21" s="11">
        <v>1.2156E-8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-2</v>
      </c>
      <c r="F22" s="11">
        <v>0</v>
      </c>
      <c r="G22" s="11">
        <v>1.2518E-8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-2</v>
      </c>
      <c r="F23" s="11">
        <v>0</v>
      </c>
      <c r="G23" s="11">
        <v>1.2099E-8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-1</v>
      </c>
      <c r="F24" s="11">
        <v>0</v>
      </c>
      <c r="G24" s="11">
        <v>1.2310000000000001E-8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1.2520000000000001E-8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1.2296E-8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1.2403E-8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1.2534E-8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1.2398E-8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1.2512999999999999E-8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1.2612000000000001E-8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1.2561000000000001E-8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1.2719E-8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1.2825000000000001E-8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1.2855E-8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1.2967E-8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1.2981000000000001E-8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1.3043E-8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1.3122E-8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1.3103999999999999E-8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1.3161E-8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1.3217E-8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1.3234E-8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1.3325E-8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1.3367E-8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1.3463E-8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1.3601E-8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1.37E-8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1.3785000000000001E-8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1.3891E-8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1.4E-8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1.4092999999999999E-8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1.4173000000000001E-8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1.4228E-8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1.431E-8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1.4368999999999999E-8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1.4429999999999999E-8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1.4477E-8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1.4501E-8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1.4510000000000001E-8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1.4571E-8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1.4637000000000001E-8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1.4715E-8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1.4799000000000001E-8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1.4858E-8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1.4953000000000002E-8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1.5058000000000002E-8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1.5148000000000001E-8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1.5268000000000001E-8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1.5361999999999999E-8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1.5440000000000001E-8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1.5524999999999998E-8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1.5574000000000001E-8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1.5612000000000001E-8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1.5676000000000001E-8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1.5732000000000002E-8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1.5769E-8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1.5805000000000002E-8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1.5833E-8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1.5859E-8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1.5898000000000001E-8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1.5929E-8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1.5958E-8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1.5959999999999999E-8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1.5882E-8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1.578E-8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1.5705999999999998E-8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1.5669E-8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1.5635999999999999E-8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1.5582E-8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1.5530000000000001E-8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1.5491E-8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1.5463999999999999E-8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1.5457000000000001E-8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1.5483E-8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1.5506E-8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1.55E-8</v>
      </c>
      <c r="H97" s="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1.000157E-2</v>
      </c>
    </row>
    <row r="4" spans="2:12" x14ac:dyDescent="0.25">
      <c r="B4" t="s">
        <v>29</v>
      </c>
      <c r="C4" t="s">
        <v>28</v>
      </c>
      <c r="D4" s="11">
        <v>1.0001110000000001E-2</v>
      </c>
    </row>
    <row r="5" spans="2:12" x14ac:dyDescent="0.25">
      <c r="B5" t="s">
        <v>30</v>
      </c>
      <c r="C5" t="s">
        <v>28</v>
      </c>
      <c r="D5" s="11">
        <v>1.000128E-2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6.7923000000000005E-8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-1</v>
      </c>
      <c r="F12" s="11">
        <v>0</v>
      </c>
      <c r="G12" s="11">
        <v>3.1598000000000003E-8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-1</v>
      </c>
      <c r="F13" s="11">
        <v>0</v>
      </c>
      <c r="G13" s="11">
        <v>2.0841000000000001E-8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2</v>
      </c>
      <c r="F14" s="11">
        <v>0</v>
      </c>
      <c r="G14" s="11">
        <v>2.4512000000000001E-8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-1</v>
      </c>
      <c r="F15" s="11">
        <v>0</v>
      </c>
      <c r="G15" s="11">
        <v>1.8463999999999999E-8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-1</v>
      </c>
      <c r="F16" s="11">
        <v>0</v>
      </c>
      <c r="G16" s="11">
        <v>1.705E-8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-1</v>
      </c>
      <c r="F17" s="11">
        <v>0</v>
      </c>
      <c r="G17" s="11">
        <v>1.6945999999999998E-8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-2</v>
      </c>
      <c r="F18" s="11">
        <v>0</v>
      </c>
      <c r="G18" s="11">
        <v>1.5541E-8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-2</v>
      </c>
      <c r="F19" s="11">
        <v>0</v>
      </c>
      <c r="G19" s="11">
        <v>1.6295999999999999E-8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-2</v>
      </c>
      <c r="F20" s="11">
        <v>0</v>
      </c>
      <c r="G20" s="11">
        <v>1.6562E-8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-2</v>
      </c>
      <c r="F21" s="11">
        <v>0</v>
      </c>
      <c r="G21" s="11">
        <v>1.6749E-8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-2</v>
      </c>
      <c r="F22" s="11">
        <v>0</v>
      </c>
      <c r="G22" s="11">
        <v>1.7579999999999999E-8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-2</v>
      </c>
      <c r="F23" s="11">
        <v>0</v>
      </c>
      <c r="G23" s="11">
        <v>1.8071E-8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-1</v>
      </c>
      <c r="F24" s="11">
        <v>0</v>
      </c>
      <c r="G24" s="11">
        <v>1.8693000000000001E-8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1.9472999999999998E-8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2.0008E-8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2.056E-8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2.1263E-8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2.1727E-8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2.2236999999999999E-8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2.2833E-8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2.3184000000000001E-8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2.3584999999999999E-8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2.3984000000000002E-8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2.4272999999999998E-8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2.4642E-8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2.4916E-8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2.5147E-8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2.5440000000000001E-8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2.5612999999999999E-8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2.5786E-8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2.5971000000000001E-8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2.6061000000000001E-8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2.6198000000000001E-8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2.6335000000000001E-8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2.6431E-8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2.6563999999999999E-8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2.6665000000000001E-8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2.6759000000000002E-8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2.6890999999999999E-8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2.6969999999999999E-8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2.7068999999999999E-8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2.7201E-8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2.7289E-8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2.7417E-8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2.7543000000000001E-8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2.7649000000000002E-8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2.7796E-8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2.7937000000000001E-8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2.8068E-8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2.8223000000000001E-8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2.8371E-8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2.8533999999999999E-8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2.8731000000000001E-8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2.8909999999999999E-8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2.9112E-8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2.9323000000000001E-8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2.9495E-8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2.9662000000000001E-8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2.9825999999999999E-8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2.9960999999999999E-8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3.0100999999999999E-8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3.0214000000000002E-8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3.0297999999999998E-8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3.0366000000000002E-8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3.0371000000000001E-8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3.0353000000000001E-8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3.0324000000000001E-8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3.0262000000000003E-8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3.0183E-8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3.0100999999999999E-8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2.9806000000000002E-8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2.9440000000000001E-8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2.8997999999999999E-8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2.8539000000000002E-8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2.8110999999999999E-8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2.7722999999999999E-8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2.7365000000000001E-8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2.6972999999999999E-8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2.6569999999999999E-8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2.6146000000000001E-8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2.5705999999999999E-8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2.5246E-8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2.4769999999999999E-8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2.4292E-8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2.3776999999999998E-8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2.3239000000000001E-8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1.0001619999999999E-2</v>
      </c>
    </row>
    <row r="4" spans="2:12" x14ac:dyDescent="0.25">
      <c r="B4" t="s">
        <v>29</v>
      </c>
      <c r="C4" t="s">
        <v>28</v>
      </c>
      <c r="D4" s="11">
        <v>1.000115E-2</v>
      </c>
    </row>
    <row r="5" spans="2:12" x14ac:dyDescent="0.25">
      <c r="B5" t="s">
        <v>30</v>
      </c>
      <c r="C5" t="s">
        <v>28</v>
      </c>
      <c r="D5" s="11">
        <v>1.0001289999999999E-2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6.4501000000000003E-8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-1</v>
      </c>
      <c r="F12" s="11">
        <v>0</v>
      </c>
      <c r="G12" s="11">
        <v>2.6583999999999998E-8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-1</v>
      </c>
      <c r="F13" s="11">
        <v>0</v>
      </c>
      <c r="G13" s="11">
        <v>2.0964000000000002E-8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2.0085999999999999E-8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-1</v>
      </c>
      <c r="F15" s="11">
        <v>0</v>
      </c>
      <c r="G15" s="11">
        <v>1.6343E-8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-1</v>
      </c>
      <c r="F16" s="11">
        <v>0</v>
      </c>
      <c r="G16" s="11">
        <v>1.7064E-8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-1</v>
      </c>
      <c r="F17" s="11">
        <v>0</v>
      </c>
      <c r="G17" s="11">
        <v>1.4317E-8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-1</v>
      </c>
      <c r="F18" s="11">
        <v>0</v>
      </c>
      <c r="G18" s="11">
        <v>1.4861999999999999E-8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1.4095999999999999E-8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-1</v>
      </c>
      <c r="F20" s="11">
        <v>0</v>
      </c>
      <c r="G20" s="11">
        <v>1.3240999999999999E-8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-2</v>
      </c>
      <c r="F21" s="11">
        <v>0</v>
      </c>
      <c r="G21" s="11">
        <v>1.3108000000000001E-8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-2</v>
      </c>
      <c r="F22" s="11">
        <v>0</v>
      </c>
      <c r="G22" s="11">
        <v>1.2340999999999999E-8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-1</v>
      </c>
      <c r="F23" s="11">
        <v>0</v>
      </c>
      <c r="G23" s="11">
        <v>1.2180000000000001E-8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-2</v>
      </c>
      <c r="F24" s="11">
        <v>0</v>
      </c>
      <c r="G24" s="11">
        <v>1.1759E-8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-1</v>
      </c>
      <c r="F25" s="11">
        <v>0</v>
      </c>
      <c r="G25" s="11">
        <v>1.1713E-8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-1</v>
      </c>
      <c r="F26" s="11">
        <v>0</v>
      </c>
      <c r="G26" s="11">
        <v>1.1628E-8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-1</v>
      </c>
      <c r="F27" s="11">
        <v>0</v>
      </c>
      <c r="G27" s="11">
        <v>1.1533999999999999E-8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-1</v>
      </c>
      <c r="F28" s="11">
        <v>0</v>
      </c>
      <c r="G28" s="11">
        <v>1.1617000000000001E-8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-1</v>
      </c>
      <c r="F29" s="11">
        <v>0</v>
      </c>
      <c r="G29" s="11">
        <v>1.1672E-8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-1</v>
      </c>
      <c r="F30" s="11">
        <v>0</v>
      </c>
      <c r="G30" s="11">
        <v>1.1891E-8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-1</v>
      </c>
      <c r="F31" s="11">
        <v>0</v>
      </c>
      <c r="G31" s="11">
        <v>1.219E-8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1.2391E-8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1.2588E-8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1.2820999999999999E-8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-1</v>
      </c>
      <c r="F35" s="11">
        <v>0</v>
      </c>
      <c r="G35" s="11">
        <v>1.3095000000000001E-8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1.3396E-8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1.3704999999999999E-8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1.4086E-8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1.4381999999999999E-8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1.4673E-8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1.5016E-8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1.5230999999999999E-8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1.5475999999999999E-8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1.5697000000000002E-8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1.5895999999999999E-8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1.6063E-8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1.6218E-8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1.6408E-8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1.6552000000000002E-8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1.6708E-8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1.6884000000000001E-8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1.7033999999999999E-8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1.7179999999999999E-8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1.7313999999999999E-8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1.7461E-8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1.7614000000000001E-8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1.7754999999999999E-8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1.7913E-8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1.8065E-8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1.8209000000000001E-8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1.8346000000000001E-8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1.8457999999999999E-8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1.8550999999999998E-8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1.8628E-8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1.8688999999999999E-8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1.8746000000000001E-8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1.8784000000000001E-8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1.8819999999999999E-8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1.8856E-8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1.8898000000000002E-8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1.8927000000000001E-8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1.8941000000000001E-8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1.897E-8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1.8973999999999998E-8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1.8962000000000001E-8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1.8971999999999999E-8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1.8958E-8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1.8967E-8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1.8971000000000002E-8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1.8985000000000001E-8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1.8994999999999999E-8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1.9009999999999999E-8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1.8985000000000001E-8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1.8971000000000002E-8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1.892E-8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1.8848000000000001E-8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1.8736E-8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1.8704E-8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1.8666E-8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1.8634E-8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1.8599E-8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1.8562999999999999E-8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1.8553999999999999E-8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1.8547999999999998E-8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1.8517E-8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1.8509000000000001E-8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1.8542000000000002E-8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1.0001589999999999E-2</v>
      </c>
    </row>
    <row r="4" spans="2:12" x14ac:dyDescent="0.25">
      <c r="B4" t="s">
        <v>29</v>
      </c>
      <c r="C4" t="s">
        <v>28</v>
      </c>
      <c r="D4" s="11">
        <v>1.0001100000000001E-2</v>
      </c>
    </row>
    <row r="5" spans="2:12" x14ac:dyDescent="0.25">
      <c r="B5" t="s">
        <v>30</v>
      </c>
      <c r="C5" t="s">
        <v>28</v>
      </c>
      <c r="D5" s="11">
        <v>1.0001309999999999E-2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6.5133000000000005E-8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2.7625999999999999E-8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-1</v>
      </c>
      <c r="F13" s="11">
        <v>0</v>
      </c>
      <c r="G13" s="11">
        <v>2.4232999999999999E-8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-1</v>
      </c>
      <c r="F14" s="11">
        <v>0</v>
      </c>
      <c r="G14" s="11">
        <v>2.2026000000000001E-8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-1</v>
      </c>
      <c r="F15" s="11">
        <v>0</v>
      </c>
      <c r="G15" s="11">
        <v>1.894E-8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-1</v>
      </c>
      <c r="F16" s="11">
        <v>0</v>
      </c>
      <c r="G16" s="11">
        <v>1.8740000000000001E-8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-1</v>
      </c>
      <c r="F17" s="11">
        <v>0</v>
      </c>
      <c r="G17" s="11">
        <v>1.5915000000000001E-8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-2</v>
      </c>
      <c r="F18" s="11">
        <v>0</v>
      </c>
      <c r="G18" s="11">
        <v>1.6902000000000001E-8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-2</v>
      </c>
      <c r="F19" s="11">
        <v>0</v>
      </c>
      <c r="G19" s="11">
        <v>1.5839E-8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-1</v>
      </c>
      <c r="F20" s="11">
        <v>0</v>
      </c>
      <c r="G20" s="11">
        <v>1.5735999999999999E-8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-2</v>
      </c>
      <c r="F21" s="11">
        <v>0</v>
      </c>
      <c r="G21" s="11">
        <v>1.5939000000000001E-8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-2</v>
      </c>
      <c r="F22" s="11">
        <v>0</v>
      </c>
      <c r="G22" s="11">
        <v>1.5827E-8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-2</v>
      </c>
      <c r="F23" s="11">
        <v>0</v>
      </c>
      <c r="G23" s="11">
        <v>1.6035999999999999E-8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-2</v>
      </c>
      <c r="F24" s="11">
        <v>0</v>
      </c>
      <c r="G24" s="11">
        <v>1.5798E-8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-1</v>
      </c>
      <c r="F25" s="11">
        <v>0</v>
      </c>
      <c r="G25" s="11">
        <v>1.6011E-8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-1</v>
      </c>
      <c r="F26" s="11">
        <v>0</v>
      </c>
      <c r="G26" s="11">
        <v>1.5694999999999999E-8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-1</v>
      </c>
      <c r="F27" s="11">
        <v>0</v>
      </c>
      <c r="G27" s="11">
        <v>1.5685000000000001E-8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-1</v>
      </c>
      <c r="F28" s="11">
        <v>0</v>
      </c>
      <c r="G28" s="11">
        <v>1.5647999999999999E-8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-1</v>
      </c>
      <c r="F29" s="11">
        <v>0</v>
      </c>
      <c r="G29" s="11">
        <v>1.5606000000000001E-8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-1</v>
      </c>
      <c r="F30" s="11">
        <v>0</v>
      </c>
      <c r="G30" s="11">
        <v>1.5704E-8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-1</v>
      </c>
      <c r="F31" s="11">
        <v>0</v>
      </c>
      <c r="G31" s="11">
        <v>1.5735000000000002E-8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1.592E-8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1.5956999999999999E-8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1.6139E-8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-1</v>
      </c>
      <c r="F35" s="11">
        <v>0</v>
      </c>
      <c r="G35" s="11">
        <v>1.6280999999999999E-8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1.6394999999999999E-8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1.6590000000000002E-8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1.6793E-8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1.7058E-8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1.7175E-8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1.7337000000000002E-8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1.7415000000000001E-8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1.7471000000000001E-8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1.7526999999999999E-8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1.7570000000000001E-8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1.7665E-8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1.7730999999999998E-8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1.7832E-8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1.7913E-8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1.7983E-8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1.8043000000000001E-8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1.8066999999999999E-8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1.81E-8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1.8101000000000001E-8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1.8127000000000001E-8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1.8167E-8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1.8211E-8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1.8243E-8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1.829E-8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1.8346999999999999E-8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1.8412E-8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1.8486999999999999E-8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1.8521999999999999E-8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1.8553999999999999E-8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1.8568000000000001E-8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1.8550999999999998E-8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1.8523E-8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1.8491E-8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1.8504999999999999E-8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1.8523E-8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1.8547999999999998E-8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1.8571000000000001E-8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1.8562000000000001E-8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1.8565999999999999E-8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1.8568000000000001E-8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1.8571000000000001E-8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1.8576E-8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1.8585000000000001E-8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1.8591000000000001E-8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1.8556999999999999E-8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1.8542999999999999E-8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1.8510999999999999E-8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1.8463999999999999E-8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1.8402000000000002E-8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1.8346000000000001E-8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1.8261000000000001E-8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1.8193E-8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1.817E-8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1.8119000000000002E-8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1.8091E-8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1.8086999999999998E-8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1.7990000000000001E-8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1.7928E-8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1.7853000000000001E-8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1.7818000000000001E-8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1.7802E-8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1.7771000000000001E-8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-9.998537E-3</v>
      </c>
    </row>
    <row r="4" spans="2:12" x14ac:dyDescent="0.25">
      <c r="B4" t="s">
        <v>29</v>
      </c>
      <c r="C4" t="s">
        <v>28</v>
      </c>
      <c r="D4" s="11">
        <v>-9.9988990000000003E-3</v>
      </c>
    </row>
    <row r="5" spans="2:12" x14ac:dyDescent="0.25">
      <c r="B5" t="s">
        <v>30</v>
      </c>
      <c r="C5" t="s">
        <v>28</v>
      </c>
      <c r="D5" s="11">
        <v>-9.9986980000000003E-3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5.8729000000000003E-8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0</v>
      </c>
      <c r="F12" s="11">
        <v>0</v>
      </c>
      <c r="G12" s="11">
        <v>2.8841E-8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-1</v>
      </c>
      <c r="F13" s="11">
        <v>0</v>
      </c>
      <c r="G13" s="11">
        <v>1.7487E-8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-1</v>
      </c>
      <c r="F14" s="11">
        <v>0</v>
      </c>
      <c r="G14" s="11">
        <v>2.1024E-8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-2</v>
      </c>
      <c r="F15" s="11">
        <v>0</v>
      </c>
      <c r="G15" s="11">
        <v>1.749E-8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-2</v>
      </c>
      <c r="F16" s="11">
        <v>0</v>
      </c>
      <c r="G16" s="11">
        <v>1.6259E-8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-2</v>
      </c>
      <c r="F17" s="11">
        <v>0</v>
      </c>
      <c r="G17" s="11">
        <v>1.7487E-8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-2</v>
      </c>
      <c r="F18" s="11">
        <v>0</v>
      </c>
      <c r="G18" s="11">
        <v>1.6869E-8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-2</v>
      </c>
      <c r="F19" s="11">
        <v>0</v>
      </c>
      <c r="G19" s="11">
        <v>1.7159999999999999E-8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-2</v>
      </c>
      <c r="F20" s="11">
        <v>0</v>
      </c>
      <c r="G20" s="11">
        <v>1.7891000000000001E-8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-2</v>
      </c>
      <c r="F21" s="11">
        <v>0</v>
      </c>
      <c r="G21" s="11">
        <v>1.8203999999999999E-8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-2</v>
      </c>
      <c r="F22" s="11">
        <v>0</v>
      </c>
      <c r="G22" s="11">
        <v>1.8892000000000001E-8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-2</v>
      </c>
      <c r="F23" s="11">
        <v>0</v>
      </c>
      <c r="G23" s="11">
        <v>1.9545000000000001E-8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-1</v>
      </c>
      <c r="F24" s="11">
        <v>0</v>
      </c>
      <c r="G24" s="11">
        <v>2.0039999999999999E-8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2.0721000000000001E-8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2.1317999999999999E-8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2.1832E-8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2.2439E-8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2.2986000000000001E-8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2.3482999999999999E-8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2.4018E-8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2.454E-8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2.5019999999999998E-8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2.5492000000000001E-8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2.5988000000000001E-8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2.6449999999999999E-8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2.6886E-8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2.7356E-8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2.7808E-8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2.8211E-8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2.8629000000000001E-8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2.9043000000000001E-8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2.9433E-8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2.9841000000000002E-8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3.023E-8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3.0604000000000001E-8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3.0984000000000001E-8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3.1317000000000002E-8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3.1638000000000002E-8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3.1935000000000001E-8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3.2198000000000002E-8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3.2467000000000002E-8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3.2712000000000002E-8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3.2932E-8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3.3140999999999999E-8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3.3319000000000002E-8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3.3467999999999999E-8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3.3607999999999999E-8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3.3728000000000003E-8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3.3833999999999997E-8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3.3934999999999999E-8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3.4018000000000001E-8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3.4093E-8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3.4154000000000003E-8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3.4185999999999999E-8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3.4224000000000003E-8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3.4253000000000002E-8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3.4284999999999999E-8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3.4324999999999998E-8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3.4358000000000002E-8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3.4379E-8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3.4400999999999998E-8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3.4411999999999997E-8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3.4410000000000002E-8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3.4394999999999998E-8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3.4380000000000001E-8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3.4358000000000002E-8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3.4322000000000001E-8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3.428E-8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3.4217000000000001E-8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3.4137000000000003E-8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3.3926000000000002E-8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3.3657000000000002E-8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3.3344999999999998E-8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3.2973E-8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3.2602999999999998E-8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3.2200999999999998E-8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3.1727999999999998E-8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3.1223000000000001E-8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3.0664000000000002E-8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3.0094999999999999E-8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2.9533E-8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2.8999E-8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2.8463000000000001E-8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2.7952000000000001E-8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2.747E-8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2.6957999999999999E-8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-9.9984740000000003E-3</v>
      </c>
    </row>
    <row r="4" spans="2:12" x14ac:dyDescent="0.25">
      <c r="B4" t="s">
        <v>29</v>
      </c>
      <c r="C4" t="s">
        <v>28</v>
      </c>
      <c r="D4" s="11">
        <v>-9.9989180000000007E-3</v>
      </c>
    </row>
    <row r="5" spans="2:12" x14ac:dyDescent="0.25">
      <c r="B5" t="s">
        <v>30</v>
      </c>
      <c r="C5" t="s">
        <v>28</v>
      </c>
      <c r="D5" s="11">
        <v>-9.9986640000000009E-3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6.0543000000000002E-8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-1</v>
      </c>
      <c r="F12" s="11">
        <v>0</v>
      </c>
      <c r="G12" s="11">
        <v>2.8039E-8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1.9119000000000001E-8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2</v>
      </c>
      <c r="F14" s="11">
        <v>0</v>
      </c>
      <c r="G14" s="11">
        <v>2.1468000000000001E-8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1.5446999999999999E-8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-1</v>
      </c>
      <c r="F16" s="11">
        <v>0</v>
      </c>
      <c r="G16" s="11">
        <v>1.385E-8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1</v>
      </c>
      <c r="F17" s="11">
        <v>0</v>
      </c>
      <c r="G17" s="11">
        <v>1.3097E-8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-1</v>
      </c>
      <c r="F18" s="11">
        <v>0</v>
      </c>
      <c r="G18" s="11">
        <v>1.1137000000000001E-8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1.1272999999999999E-8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1.0233E-8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-2</v>
      </c>
      <c r="F21" s="11">
        <v>0</v>
      </c>
      <c r="G21" s="11">
        <v>1.0049E-8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-1</v>
      </c>
      <c r="F22" s="11">
        <v>0</v>
      </c>
      <c r="G22" s="11">
        <v>1.049E-8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-2</v>
      </c>
      <c r="F23" s="11">
        <v>0</v>
      </c>
      <c r="G23" s="11">
        <v>9.8720000000000007E-9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-1</v>
      </c>
      <c r="F24" s="11">
        <v>0</v>
      </c>
      <c r="G24" s="11">
        <v>9.9725999999999992E-9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1.0168E-8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9.9060999999999999E-9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1.02E-8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1.0423E-8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1.0547E-8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1.0732999999999999E-8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1.0800000000000001E-8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1.0966E-8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1.1094E-8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1.1244E-8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1.1495E-8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1.1676999999999999E-8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1.1876E-8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1.2089999999999999E-8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1.2232E-8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1.2385999999999999E-8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1.2557E-8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1.2725999999999999E-8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1.2894E-8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1.3006000000000001E-8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1.3124000000000001E-8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1.324E-8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1.3361E-8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1.3558999999999999E-8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1.377E-8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1.3968999999999999E-8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1.4192000000000001E-8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1.4434E-8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1.4659000000000001E-8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1.4851E-8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1.5052000000000001E-8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1.5230000000000001E-8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1.5399000000000001E-8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1.5609000000000001E-8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1.5801E-8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1.5980999999999999E-8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1.6166000000000001E-8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1.6356000000000001E-8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1.6546000000000001E-8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1.6724000000000001E-8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1.6905999999999999E-8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1.7093E-8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1.7289E-8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1.7485000000000001E-8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1.7662E-8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1.7838999999999998E-8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1.8022999999999999E-8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1.8203000000000001E-8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1.8343000000000001E-8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1.8498000000000001E-8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1.8661000000000001E-8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1.8807000000000001E-8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1.8979999999999999E-8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1.9157999999999999E-8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1.9326E-8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1.9493000000000001E-8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1.9656999999999999E-8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1.9960000000000001E-8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2.0234000000000001E-8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2.0465000000000002E-8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2.0704000000000001E-8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2.0926000000000002E-8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2.1121999999999999E-8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2.1317999999999999E-8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2.1500000000000001E-8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2.1667000000000001E-8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2.1788E-8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2.1911E-8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2.2037000000000001E-8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2.215E-8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2.2262000000000001E-8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2.2379000000000001E-8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2.2495999999999998E-8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-9.9984670000000005E-3</v>
      </c>
    </row>
    <row r="4" spans="2:12" x14ac:dyDescent="0.25">
      <c r="B4" t="s">
        <v>29</v>
      </c>
      <c r="C4" t="s">
        <v>28</v>
      </c>
      <c r="D4" s="11">
        <v>-9.9989109999999992E-3</v>
      </c>
    </row>
    <row r="5" spans="2:12" x14ac:dyDescent="0.25">
      <c r="B5" t="s">
        <v>30</v>
      </c>
      <c r="C5" t="s">
        <v>28</v>
      </c>
      <c r="D5" s="11">
        <v>-9.9986510000000008E-3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6.1169999999999998E-8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-1</v>
      </c>
      <c r="F12" s="11">
        <v>0</v>
      </c>
      <c r="G12" s="11">
        <v>2.7196000000000001E-8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-1</v>
      </c>
      <c r="F13" s="11">
        <v>0</v>
      </c>
      <c r="G13" s="11">
        <v>1.8089999999999999E-8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2</v>
      </c>
      <c r="F14" s="11">
        <v>0</v>
      </c>
      <c r="G14" s="11">
        <v>2.0581999999999999E-8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-1</v>
      </c>
      <c r="F15" s="11">
        <v>0</v>
      </c>
      <c r="G15" s="11">
        <v>1.5306999999999999E-8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-1</v>
      </c>
      <c r="F16" s="11">
        <v>0</v>
      </c>
      <c r="G16" s="11">
        <v>1.4357000000000001E-8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1.3277E-8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-1</v>
      </c>
      <c r="F18" s="11">
        <v>0</v>
      </c>
      <c r="G18" s="11">
        <v>1.2156999999999999E-8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-1</v>
      </c>
      <c r="F19" s="11">
        <v>0</v>
      </c>
      <c r="G19" s="11">
        <v>1.1961E-8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-1</v>
      </c>
      <c r="F20" s="11">
        <v>0</v>
      </c>
      <c r="G20" s="11">
        <v>1.095E-8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-1</v>
      </c>
      <c r="F21" s="11">
        <v>0</v>
      </c>
      <c r="G21" s="11">
        <v>1.0937000000000001E-8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-2</v>
      </c>
      <c r="F22" s="11">
        <v>0</v>
      </c>
      <c r="G22" s="11">
        <v>1.0827999999999999E-8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-2</v>
      </c>
      <c r="F23" s="11">
        <v>0</v>
      </c>
      <c r="G23" s="11">
        <v>1.0255999999999999E-8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-2</v>
      </c>
      <c r="F24" s="11">
        <v>0</v>
      </c>
      <c r="G24" s="11">
        <v>1.0211E-8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-1</v>
      </c>
      <c r="F25" s="11">
        <v>0</v>
      </c>
      <c r="G25" s="11">
        <v>1.0128999999999999E-8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-1</v>
      </c>
      <c r="F26" s="11">
        <v>0</v>
      </c>
      <c r="G26" s="11">
        <v>1.0017E-8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-1</v>
      </c>
      <c r="F27" s="11">
        <v>0</v>
      </c>
      <c r="G27" s="11">
        <v>1.0229E-8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-1</v>
      </c>
      <c r="F28" s="11">
        <v>0</v>
      </c>
      <c r="G28" s="11">
        <v>1.0477E-8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-1</v>
      </c>
      <c r="F29" s="11">
        <v>0</v>
      </c>
      <c r="G29" s="11">
        <v>1.0641000000000001E-8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-1</v>
      </c>
      <c r="F30" s="11">
        <v>0</v>
      </c>
      <c r="G30" s="11">
        <v>1.078E-8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-1</v>
      </c>
      <c r="F31" s="11">
        <v>0</v>
      </c>
      <c r="G31" s="11">
        <v>1.0902000000000001E-8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1.104E-8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1.1135E-8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1.1317E-8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-1</v>
      </c>
      <c r="F35" s="11">
        <v>0</v>
      </c>
      <c r="G35" s="11">
        <v>1.1485999999999999E-8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1.1668000000000001E-8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1.1844E-8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1.2032E-8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1.2232999999999999E-8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1.234E-8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1.2496E-8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1.2626E-8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1.2753E-8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1.2873000000000001E-8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1.294E-8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1.3036E-8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1.3107E-8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1.3202999999999999E-8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1.3312E-8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1.3375000000000001E-8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1.3443E-8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1.3513E-8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1.3612999999999999E-8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1.3716E-8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1.3821E-8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1.3968E-8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1.4073E-8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1.4183E-8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1.432E-8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1.4399E-8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1.4492999999999999E-8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1.4558E-8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1.4648999999999999E-8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1.4756999999999999E-8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1.4815000000000001E-8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1.4887E-8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1.4961000000000001E-8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1.5011000000000001E-8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1.5078000000000001E-8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1.5128999999999999E-8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1.5198000000000001E-8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1.5296E-8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1.5381999999999998E-8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1.5481000000000001E-8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1.5574999999999999E-8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1.5647999999999999E-8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1.5737999999999998E-8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1.5799000000000001E-8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1.5880000000000001E-8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1.5994999999999999E-8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1.6082000000000001E-8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1.6286000000000001E-8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1.6486E-8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1.6651000000000001E-8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1.6854E-8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1.7039000000000001E-8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1.7254E-8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1.7452E-8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1.7648E-8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1.7811E-8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1.7972E-8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1.8158E-8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1.8326999999999999E-8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1.8488E-8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1.8629999999999999E-8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1.8807000000000001E-8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1.8982000000000001E-8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-9.9984719999999996E-3</v>
      </c>
    </row>
    <row r="4" spans="2:12" x14ac:dyDescent="0.25">
      <c r="B4" t="s">
        <v>29</v>
      </c>
      <c r="C4" t="s">
        <v>28</v>
      </c>
      <c r="D4" s="11">
        <v>-9.9988609999999995E-3</v>
      </c>
    </row>
    <row r="5" spans="2:12" x14ac:dyDescent="0.25">
      <c r="B5" t="s">
        <v>30</v>
      </c>
      <c r="C5" t="s">
        <v>28</v>
      </c>
      <c r="D5" s="11">
        <v>-9.9986529999999997E-3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6.0596999999999997E-8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0</v>
      </c>
      <c r="F12" s="11">
        <v>0</v>
      </c>
      <c r="G12" s="11">
        <v>2.7555000000000001E-8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2.0727999999999999E-8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1</v>
      </c>
      <c r="F14" s="11">
        <v>0</v>
      </c>
      <c r="G14" s="11">
        <v>2.1194999999999999E-8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-1</v>
      </c>
      <c r="F15" s="11">
        <v>0</v>
      </c>
      <c r="G15" s="11">
        <v>1.5953000000000001E-8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-1</v>
      </c>
      <c r="F16" s="11">
        <v>0</v>
      </c>
      <c r="G16" s="11">
        <v>1.5723999999999999E-8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-1</v>
      </c>
      <c r="F17" s="11">
        <v>0</v>
      </c>
      <c r="G17" s="11">
        <v>1.3815E-8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-1</v>
      </c>
      <c r="F18" s="11">
        <v>0</v>
      </c>
      <c r="G18" s="11">
        <v>1.3962E-8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1.434E-8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-2</v>
      </c>
      <c r="F20" s="11">
        <v>0</v>
      </c>
      <c r="G20" s="11">
        <v>1.3587E-8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-2</v>
      </c>
      <c r="F21" s="11">
        <v>0</v>
      </c>
      <c r="G21" s="11">
        <v>1.4273E-8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-2</v>
      </c>
      <c r="F22" s="11">
        <v>0</v>
      </c>
      <c r="G22" s="11">
        <v>1.4355E-8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-2</v>
      </c>
      <c r="F23" s="11">
        <v>0</v>
      </c>
      <c r="G23" s="11">
        <v>1.4383E-8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-1</v>
      </c>
      <c r="F24" s="11">
        <v>0</v>
      </c>
      <c r="G24" s="11">
        <v>1.4767000000000001E-8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1.4915999999999999E-8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1.5104999999999999E-8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1.5320000000000001E-8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1.5487000000000002E-8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1.5675E-8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1.5816000000000001E-8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1.5974999999999999E-8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1.6093999999999998E-8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1.6204000000000001E-8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1.632E-8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1.6412999999999999E-8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1.6505000000000001E-8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1.6609E-8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1.6712999999999999E-8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1.6787E-8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1.6905999999999999E-8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1.7010999999999999E-8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1.7077000000000001E-8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1.7161000000000001E-8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1.7213E-8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1.7266000000000001E-8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1.7351999999999999E-8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1.7407000000000002E-8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1.7444999999999998E-8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1.7499E-8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1.7555999999999999E-8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1.7575E-8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1.7622999999999998E-8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1.7675000000000001E-8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1.7722000000000001E-8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1.7760999999999999E-8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1.7783000000000001E-8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1.7814E-8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1.7821999999999999E-8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1.7835999999999998E-8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1.7841000000000001E-8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1.7853999999999999E-8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1.7870999999999998E-8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1.7913E-8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1.7957E-8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1.7987999999999999E-8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1.8031999999999999E-8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1.8078999999999999E-8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1.8139999999999999E-8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1.8191999999999998E-8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1.8218000000000001E-8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1.8259999999999999E-8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1.8288999999999999E-8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1.8316E-8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1.8334999999999998E-8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1.8358000000000001E-8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1.8395E-8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1.8416000000000001E-8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1.8442000000000001E-8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1.8483999999999999E-8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1.8533999999999999E-8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1.8611E-8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1.8813000000000001E-8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1.9159E-8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1.9577999999999998E-8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2.0001999999999999E-8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2.0429E-8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2.0864000000000001E-8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2.1276000000000001E-8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2.1693000000000001E-8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2.2092E-8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2.2472999999999999E-8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2.2851000000000001E-8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2.3234999999999999E-8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2.3628000000000002E-8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2.4016999999999999E-8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2.4395000000000001E-8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2.4760000000000001E-8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-10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-9.9984470000000006E-3</v>
      </c>
    </row>
    <row r="4" spans="2:12" x14ac:dyDescent="0.25">
      <c r="B4" t="s">
        <v>29</v>
      </c>
      <c r="C4" t="s">
        <v>28</v>
      </c>
      <c r="D4" s="11">
        <v>-9.9989190000000002E-3</v>
      </c>
    </row>
    <row r="5" spans="2:12" x14ac:dyDescent="0.25">
      <c r="B5" t="s">
        <v>30</v>
      </c>
      <c r="C5" t="s">
        <v>28</v>
      </c>
      <c r="D5" s="11">
        <v>-9.9986450000000004E-3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6.2845000000000005E-8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2.5024E-8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2.1692E-8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1.8051000000000001E-8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0</v>
      </c>
      <c r="F15" s="11">
        <v>0</v>
      </c>
      <c r="G15" s="11">
        <v>1.6457E-8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1.4996000000000001E-8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-2</v>
      </c>
      <c r="F17" s="11">
        <v>0</v>
      </c>
      <c r="G17" s="11">
        <v>1.2681E-8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-1</v>
      </c>
      <c r="F18" s="11">
        <v>0</v>
      </c>
      <c r="G18" s="11">
        <v>1.3219000000000001E-8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-1</v>
      </c>
      <c r="F19" s="11">
        <v>0</v>
      </c>
      <c r="G19" s="11">
        <v>1.1622999999999999E-8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-2</v>
      </c>
      <c r="F20" s="11">
        <v>0</v>
      </c>
      <c r="G20" s="11">
        <v>1.1746E-8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-2</v>
      </c>
      <c r="F21" s="11">
        <v>0</v>
      </c>
      <c r="G21" s="11">
        <v>1.1271E-8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-2</v>
      </c>
      <c r="F22" s="11">
        <v>0</v>
      </c>
      <c r="G22" s="11">
        <v>1.1463E-8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-2</v>
      </c>
      <c r="F23" s="11">
        <v>0</v>
      </c>
      <c r="G23" s="11">
        <v>1.1034E-8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-2</v>
      </c>
      <c r="F24" s="11">
        <v>0</v>
      </c>
      <c r="G24" s="11">
        <v>1.104E-8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-1</v>
      </c>
      <c r="F25" s="11">
        <v>0</v>
      </c>
      <c r="G25" s="11">
        <v>1.1018E-8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-1</v>
      </c>
      <c r="F26" s="11">
        <v>0</v>
      </c>
      <c r="G26" s="11">
        <v>1.0902000000000001E-8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-1</v>
      </c>
      <c r="F27" s="11">
        <v>0</v>
      </c>
      <c r="G27" s="11">
        <v>1.1005999999999999E-8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-1</v>
      </c>
      <c r="F28" s="11">
        <v>0</v>
      </c>
      <c r="G28" s="11">
        <v>1.0979E-8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-1</v>
      </c>
      <c r="F29" s="11">
        <v>0</v>
      </c>
      <c r="G29" s="11">
        <v>1.1148999999999999E-8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-1</v>
      </c>
      <c r="F30" s="11">
        <v>0</v>
      </c>
      <c r="G30" s="11">
        <v>1.1152E-8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-1</v>
      </c>
      <c r="F31" s="11">
        <v>0</v>
      </c>
      <c r="G31" s="11">
        <v>1.139E-8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1.1474000000000001E-8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1.1611000000000001E-8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1.1727E-8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-1</v>
      </c>
      <c r="F35" s="11">
        <v>0</v>
      </c>
      <c r="G35" s="11">
        <v>1.1889999999999999E-8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1.2067E-8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1.2224000000000001E-8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1.2412000000000001E-8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1.2547999999999999E-8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1.2679000000000001E-8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1.2847000000000001E-8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1.3029E-8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1.3166E-8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1.3327000000000001E-8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1.3528E-8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1.3745E-8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1.3974E-8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1.4164E-8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1.439E-8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1.4565E-8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1.4737E-8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1.4925E-8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1.5075000000000001E-8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1.5253000000000001E-8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1.541E-8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1.5605E-8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1.5790999999999999E-8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1.5964E-8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1.6123999999999999E-8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1.6277999999999999E-8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1.6423000000000001E-8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1.6546000000000001E-8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1.6648000000000001E-8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1.6755E-8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1.6867000000000001E-8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1.6980000000000001E-8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1.709E-8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1.7231000000000001E-8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1.7353E-8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1.7477999999999999E-8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1.7584E-8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1.7683E-8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1.7777999999999999E-8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1.7847999999999999E-8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1.7935999999999999E-8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1.8016000000000001E-8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1.8095000000000001E-8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1.8156999999999998E-8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1.8217E-8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1.8273000000000001E-8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1.8311000000000001E-8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1.8445999999999999E-8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1.8574999999999999E-8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1.8755999999999999E-8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1.8929E-8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1.9093000000000001E-8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1.9273E-8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1.9461000000000001E-8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1.9647000000000001E-8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1.9799000000000001E-8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1.9980000000000001E-8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2.0132000000000001E-8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2.0234999999999999E-8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2.0339999999999999E-8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2.0456000000000001E-8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2.0563E-8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2.0709E-8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2.9992439999999999E-3</v>
      </c>
    </row>
    <row r="4" spans="2:12" x14ac:dyDescent="0.25">
      <c r="B4" t="s">
        <v>29</v>
      </c>
      <c r="C4" t="s">
        <v>28</v>
      </c>
      <c r="D4" s="11">
        <v>2.9991390000000001E-3</v>
      </c>
    </row>
    <row r="5" spans="2:12" x14ac:dyDescent="0.25">
      <c r="B5" t="s">
        <v>30</v>
      </c>
      <c r="C5" t="s">
        <v>28</v>
      </c>
      <c r="D5" s="11">
        <v>2.9991979999999998E-3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2.3196999999999999E-8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1.3367E-8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6.6352000000000004E-9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6.4974000000000003E-9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6.5048999999999997E-9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4.8980999999999999E-9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3.5705E-9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4.0361999999999998E-9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3.6854000000000001E-9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2.8511999999999998E-9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3.1085000000000002E-9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3.1072999999999998E-9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-1</v>
      </c>
      <c r="F23" s="11">
        <v>0</v>
      </c>
      <c r="G23" s="11">
        <v>2.6426E-9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2.5745000000000002E-9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2.7274999999999999E-9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2.4948000000000001E-9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2.3586000000000001E-9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2.5075999999999999E-9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2.4587999999999998E-9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2.2888999999999998E-9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2.3777000000000002E-9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2.4469999999999999E-9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2.3159999999999999E-9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2.3098E-9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2.4071000000000001E-9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2.3390999999999999E-9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2.2775E-9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2.3428999999999998E-9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2.3458999999999999E-9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2.2761E-9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2.2820000000000002E-9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2.3198000000000002E-9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2.2465E-9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2.2404999999999999E-9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2.2777000000000001E-9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2.2557E-9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2.2368E-9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2.2563000000000002E-9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2.2599E-9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2.2176999999999999E-9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2.2216999999999999E-9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2.2357E-9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2.1971000000000002E-9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2.1869E-9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2.1916000000000002E-9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2.1727000000000002E-9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2.1436999999999999E-9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2.1445000000000002E-9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2.1345E-9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2.0982000000000001E-9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2.0907999999999999E-9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2.0828999999999999E-9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2.0576E-9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2.0415E-9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2.0415E-9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2.0225E-9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1.9924999999999999E-9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1.9822E-9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1.9644E-9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1.9238999999999999E-9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1.9075999999999999E-9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1.8787000000000001E-9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1.8478E-9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1.8172000000000001E-9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1.8054E-9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1.7814000000000001E-9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1.7442E-9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1.7310999999999999E-9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1.7083E-9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1.6668000000000001E-9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1.6469E-9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1.6062999999999999E-9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1.5669E-9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1.5176E-9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1.4891E-9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1.4559999999999999E-9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1.4294E-9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1.4019000000000001E-9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1.3551E-9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1.3256000000000001E-9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1.2878E-9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1.258E-9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1.2306000000000001E-9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1.1963999999999999E-9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1.186E-9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1.1707999999999999E-9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1.1673999999999999E-9</v>
      </c>
      <c r="H97" s="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2.9992439999999999E-3</v>
      </c>
    </row>
    <row r="4" spans="2:12" x14ac:dyDescent="0.25">
      <c r="B4" t="s">
        <v>29</v>
      </c>
      <c r="C4" t="s">
        <v>28</v>
      </c>
      <c r="D4" s="11">
        <v>2.9991509999999998E-3</v>
      </c>
    </row>
    <row r="5" spans="2:12" x14ac:dyDescent="0.25">
      <c r="B5" t="s">
        <v>30</v>
      </c>
      <c r="C5" t="s">
        <v>28</v>
      </c>
      <c r="D5" s="11">
        <v>2.9992059999999999E-3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2.2162E-8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1.3191E-8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6.5990999999999997E-9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6.5893E-9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6.6104000000000003E-9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5.0257999999999997E-9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3.9845999999999997E-9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4.2400000000000002E-9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3.8471000000000001E-9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3.1760999999999998E-9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-1</v>
      </c>
      <c r="F21" s="11">
        <v>0</v>
      </c>
      <c r="G21" s="11">
        <v>3.3595999999999999E-9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-1</v>
      </c>
      <c r="F22" s="11">
        <v>0</v>
      </c>
      <c r="G22" s="11">
        <v>3.2932000000000002E-9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3.0560999999999998E-9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3.0776999999999998E-9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3.0490000000000001E-9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2.9210000000000001E-9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2.8144000000000001E-9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2.8409E-9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2.7897E-9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2.7445000000000002E-9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2.7447999999999999E-9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2.6999000000000002E-9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2.6691999999999998E-9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2.6242000000000001E-9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2.5897999999999999E-9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2.5801999999999998E-9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2.5048999999999999E-9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2.4920000000000001E-9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2.4798000000000001E-9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2.4428999999999999E-9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2.4434000000000001E-9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2.4479000000000002E-9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2.4462000000000001E-9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2.4286000000000001E-9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2.4196999999999998E-9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2.4294999999999999E-9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2.4015E-9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2.4045000000000001E-9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2.4145999999999999E-9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2.4016000000000001E-9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2.4029E-9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2.4035999999999998E-9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2.3974E-9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2.3711999999999998E-9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2.3638E-9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2.3574000000000002E-9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2.3409000000000001E-9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2.3393E-9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2.3254999999999999E-9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2.3166E-9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2.3049000000000002E-9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2.2889999999999999E-9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2.2750000000000001E-9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2.2617000000000002E-9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2.2443999999999998E-9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2.2277000000000001E-9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2.2281000000000002E-9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2.2142000000000001E-9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2.2007000000000001E-9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2.1971000000000002E-9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2.1807000000000001E-9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2.1618000000000001E-9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2.1470000000000001E-9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2.1307000000000001E-9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2.1037000000000001E-9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2.0880999999999999E-9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2.0779E-9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2.0579000000000001E-9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2.0476999999999999E-9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2.0355999999999999E-9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2.0284000000000002E-9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2.0181999999999999E-9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1.9969E-9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1.9934000000000002E-9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1.9773000000000002E-9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1.9673E-9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1.9502000000000002E-9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1.9260000000000002E-9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1.9025E-9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1.8630999999999999E-9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1.8247999999999999E-9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1.7767999999999999E-9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1.7484000000000001E-9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1.734E-9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1.7275999999999999E-9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1.7231E-9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1.7233E-9</v>
      </c>
      <c r="H97" s="1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2.999252E-3</v>
      </c>
    </row>
    <row r="4" spans="2:12" x14ac:dyDescent="0.25">
      <c r="B4" t="s">
        <v>29</v>
      </c>
      <c r="C4" t="s">
        <v>28</v>
      </c>
      <c r="D4" s="11">
        <v>2.9991390000000001E-3</v>
      </c>
    </row>
    <row r="5" spans="2:12" x14ac:dyDescent="0.25">
      <c r="B5" t="s">
        <v>30</v>
      </c>
      <c r="C5" t="s">
        <v>28</v>
      </c>
      <c r="D5" s="11">
        <v>2.99921E-3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2.2592000000000001E-8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1.3239E-8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7.0271000000000003E-9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6.5659000000000002E-9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6.3380999999999999E-9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4.9192999999999998E-9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3.6541E-9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4.1944000000000003E-9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3.9404000000000002E-9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3.1540000000000001E-9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-1</v>
      </c>
      <c r="F21" s="11">
        <v>0</v>
      </c>
      <c r="G21" s="11">
        <v>3.3011000000000001E-9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-1</v>
      </c>
      <c r="F22" s="11">
        <v>0</v>
      </c>
      <c r="G22" s="11">
        <v>3.2846E-9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1</v>
      </c>
      <c r="F23" s="11">
        <v>0</v>
      </c>
      <c r="G23" s="11">
        <v>2.8362000000000002E-9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2.7208E-9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2.818E-9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2.6981E-9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2.5115999999999999E-9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2.5849E-9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2.5822E-9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2.3819999999999998E-9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2.3548000000000002E-9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2.3899999999999998E-9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2.2956999999999998E-9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2.2301E-9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2.2630000000000001E-9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2.2025999999999998E-9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2.1182E-9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2.0946999999999998E-9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2.0822000000000001E-9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2.0086999999999999E-9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1.9571000000000002E-9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1.9554000000000001E-9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1.8735000000000002E-9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1.8233999999999999E-9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1.8016000000000001E-9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1.7511000000000001E-9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1.7022E-9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1.6674000000000001E-9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1.6419999999999999E-9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1.5734E-9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1.5448999999999999E-9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1.5317E-9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1.4731E-9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1.4554E-9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1.4487E-9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1.4211E-9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1.4016E-9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1.4099000000000001E-9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1.4125E-9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1.3849E-9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1.3959999999999999E-9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1.4271E-9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1.4131E-9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1.4180000000000001E-9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1.4498000000000001E-9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1.4538999999999999E-9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1.4534E-9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1.4801999999999999E-9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1.5064000000000001E-9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1.4921E-9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1.4984999999999999E-9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1.5327999999999999E-9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1.5326000000000001E-9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1.5384E-9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1.5738000000000001E-9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1.5912E-9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1.5912E-9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1.6088000000000001E-9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1.6417E-9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1.6445000000000001E-9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1.655E-9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1.6966999999999999E-9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1.7202999999999999E-9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1.7354E-9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1.7853E-9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1.8094E-9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1.8529999999999999E-9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1.8802999999999998E-9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1.9105E-9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1.9384999999999999E-9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1.955E-9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1.9843999999999999E-9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1.9990999999999998E-9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2.0212E-9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2.0387E-9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2.0598999999999999E-9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2.0851000000000002E-9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2.9992479999999999E-3</v>
      </c>
    </row>
    <row r="4" spans="2:12" x14ac:dyDescent="0.25">
      <c r="B4" t="s">
        <v>29</v>
      </c>
      <c r="C4" t="s">
        <v>28</v>
      </c>
      <c r="D4" s="11">
        <v>2.9991570000000001E-3</v>
      </c>
    </row>
    <row r="5" spans="2:12" x14ac:dyDescent="0.25">
      <c r="B5" t="s">
        <v>30</v>
      </c>
      <c r="C5" t="s">
        <v>28</v>
      </c>
      <c r="D5" s="11">
        <v>2.9992109999999999E-3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2.2303000000000001E-8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1.2744E-8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6.6048000000000002E-9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6.9001000000000002E-9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6.6571999999999997E-9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5.2063999999999997E-9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4.2929000000000003E-9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4.4077E-9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4.0733999999999996E-9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3.4362000000000002E-9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3.4977E-9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3.4984999999999999E-9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-1</v>
      </c>
      <c r="F23" s="11">
        <v>0</v>
      </c>
      <c r="G23" s="11">
        <v>3.1519999999999999E-9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3.1422000000000002E-9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3.1966999999999999E-9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3.0274000000000001E-9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2.8705E-9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2.8856E-9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2.8068999999999999E-9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2.6663999999999998E-9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2.6966E-9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2.6419000000000002E-9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2.5359999999999999E-9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2.5181999999999998E-9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2.5032999999999998E-9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2.3845999999999998E-9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2.2766000000000002E-9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2.2391999999999999E-9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2.1647000000000002E-9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2.071E-9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2.0299999999999998E-9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1.9948000000000002E-9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1.8881000000000001E-9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1.8808E-9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1.8820999999999999E-9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1.8063000000000001E-9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1.7724E-9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1.8047E-9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1.7821999999999999E-9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1.7502E-9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1.7808999999999999E-9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1.784E-9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1.7754000000000001E-9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1.8031999999999999E-9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1.8339E-9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1.8110000000000001E-9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1.8013E-9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1.825E-9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1.8165000000000001E-9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1.7797E-9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1.7979E-9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1.8011999999999999E-9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1.7632000000000001E-9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1.7806E-9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1.7949999999999999E-9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1.7764E-9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1.7673000000000001E-9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1.7818E-9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1.7768999999999999E-9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1.7592000000000001E-9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1.7698E-9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1.7817E-9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1.7741999999999999E-9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1.7876999999999999E-9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1.8038999999999999E-9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1.7963000000000001E-9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1.7875000000000001E-9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1.8007E-9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1.806E-9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1.7996000000000001E-9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1.8158000000000001E-9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1.8287999999999999E-9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1.8401000000000001E-9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1.8218000000000001E-9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1.8110000000000001E-9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1.8011999999999999E-9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1.7851E-9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1.7812E-9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1.7546999999999999E-9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1.7509E-9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1.7467E-9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1.7454E-9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1.7569E-9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1.7592000000000001E-9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1.7724E-9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1.7876999999999999E-9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1.8033E-9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2.9992560000000001E-3</v>
      </c>
    </row>
    <row r="4" spans="2:12" x14ac:dyDescent="0.25">
      <c r="B4" t="s">
        <v>29</v>
      </c>
      <c r="C4" t="s">
        <v>28</v>
      </c>
      <c r="D4" s="11">
        <v>2.999154E-3</v>
      </c>
    </row>
    <row r="5" spans="2:12" x14ac:dyDescent="0.25">
      <c r="B5" t="s">
        <v>30</v>
      </c>
      <c r="C5" t="s">
        <v>28</v>
      </c>
      <c r="D5" s="11">
        <v>2.999214E-3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2.2787000000000001E-8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1.2908000000000001E-8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6.6793999999999999E-9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6.8698000000000004E-9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6.8604E-9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5.1992999999999996E-9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3.9693000000000003E-9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4.3268000000000004E-9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3.8205000000000002E-9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3.0435000000000001E-9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3.3659000000000001E-9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3.3230999999999998E-9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2.8885000000000001E-9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2.8842E-9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2.9583E-9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2.6953E-9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2.4789000000000002E-9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2.5662000000000001E-9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2.3741999999999999E-9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2.1258999999999999E-9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2.1941000000000001E-9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2.1771999999999999E-9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2.0251E-9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2.0028000000000002E-9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2.0449999999999999E-9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1.9499000000000001E-9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1.9206000000000002E-9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2.0003999999999998E-9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1.9138000000000002E-9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1.8609000000000001E-9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1.8979999999999999E-9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1.8766999999999999E-9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1.8111000000000001E-9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1.8104999999999999E-9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1.8381999999999999E-9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1.7895999999999999E-9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1.794E-9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1.8338E-9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1.8053E-9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1.8044000000000001E-9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1.8088E-9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1.7968E-9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1.7723E-9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1.7787000000000001E-9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1.8035E-9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1.7794000000000001E-9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1.802E-9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1.8274999999999999E-9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1.817E-9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1.8299000000000001E-9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1.8365E-9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1.8421999999999999E-9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1.8239999999999999E-9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1.8243E-9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1.8319000000000001E-9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1.8146999999999999E-9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1.8333000000000001E-9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1.8391E-9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1.8300999999999999E-9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1.8331E-9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1.8380000000000001E-9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1.8381000000000001E-9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1.831E-9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1.8386E-9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1.8434000000000001E-9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1.8412E-9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1.8627000000000002E-9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1.8681000000000002E-9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1.8661E-9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1.8754E-9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1.8867000000000001E-9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1.9034999999999999E-9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1.9354000000000002E-9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1.9557999999999998E-9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1.9659E-9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1.9894000000000002E-9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1.9968E-9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2.0113999999999999E-9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2.0168999999999999E-9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2.024E-9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2.0411999999999999E-9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2.0383999999999999E-9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2.0424999999999999E-9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2.0534E-9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2.0625999999999999E-9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2.0759999999999999E-9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2.0798000000000002E-9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-3.000586E-3</v>
      </c>
    </row>
    <row r="4" spans="2:12" x14ac:dyDescent="0.25">
      <c r="B4" t="s">
        <v>29</v>
      </c>
      <c r="C4" t="s">
        <v>28</v>
      </c>
      <c r="D4" s="11">
        <v>-3.0006970000000001E-3</v>
      </c>
    </row>
    <row r="5" spans="2:12" x14ac:dyDescent="0.25">
      <c r="B5" t="s">
        <v>30</v>
      </c>
      <c r="C5" t="s">
        <v>28</v>
      </c>
      <c r="D5" s="11">
        <v>-3.0006310000000001E-3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2.3272000000000002E-8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1.3516E-8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6.5091999999999998E-9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6.3862999999999998E-9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6.3996999999999997E-9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4.8291999999999998E-9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3.8367999999999998E-9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4.2001E-9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3.8225999999999996E-9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3.1542000000000001E-9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3.1796000000000001E-9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3.1787000000000002E-9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2.7808000000000002E-9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2.6353999999999998E-9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2.7458000000000002E-9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2.5351000000000001E-9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2.3907E-9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2.4132999999999999E-9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2.2954000000000002E-9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2.1780000000000001E-9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2.1433999999999999E-9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2.1461999999999999E-9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2.0411999999999999E-9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2.0111999999999998E-9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2.0345E-9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1.9517999999999998E-9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1.8984E-9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1.904E-9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1.8973000000000001E-9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1.8293000000000001E-9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1.8301999999999999E-9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1.8559E-9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1.8222E-9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1.8114E-9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1.8435000000000001E-9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1.8478E-9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1.8277E-9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1.8409999999999999E-9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1.8555000000000001E-9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1.8523999999999999E-9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1.835E-9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1.8405E-9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1.8387000000000001E-9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1.8121E-9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1.8104999999999999E-9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1.8145000000000001E-9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1.7947E-9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1.7936000000000001E-9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1.8014E-9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1.7950999999999999E-9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1.7868000000000001E-9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1.7838E-9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1.7761999999999999E-9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1.7713000000000001E-9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1.7561E-9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1.7483000000000001E-9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1.7372E-9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1.7121999999999999E-9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1.7101999999999999E-9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1.7004E-9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1.6923E-9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1.6746E-9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1.661E-9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1.6512E-9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1.6221E-9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1.6095000000000001E-9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1.5934999999999999E-9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1.5772999999999999E-9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1.5583000000000001E-9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1.5437E-9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1.5279000000000001E-9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1.4975000000000001E-9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1.4713999999999999E-9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1.4576E-9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1.4390000000000001E-9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1.4369999999999999E-9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1.4289000000000001E-9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1.4281000000000001E-9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1.4298E-9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1.4268000000000001E-9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1.4321E-9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1.4363999999999999E-9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1.4475E-9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1.4636E-9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1.4773000000000001E-9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1.5002000000000001E-9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1.5236E-9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-3.0005880000000002E-3</v>
      </c>
    </row>
    <row r="4" spans="2:12" x14ac:dyDescent="0.25">
      <c r="B4" t="s">
        <v>29</v>
      </c>
      <c r="C4" t="s">
        <v>28</v>
      </c>
      <c r="D4" s="11">
        <v>-3.0006960000000002E-3</v>
      </c>
    </row>
    <row r="5" spans="2:12" x14ac:dyDescent="0.25">
      <c r="B5" t="s">
        <v>30</v>
      </c>
      <c r="C5" t="s">
        <v>28</v>
      </c>
      <c r="D5" s="11">
        <v>-3.0006289999999999E-3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2.304E-8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1.2725E-8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7.1084999999999996E-9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7.0939000000000001E-9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6.2786000000000002E-9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5.1641000000000004E-9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4.3601000000000003E-9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4.4249999999999999E-9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4.0266000000000001E-9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3.5629000000000002E-9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-1</v>
      </c>
      <c r="F21" s="11">
        <v>0</v>
      </c>
      <c r="G21" s="11">
        <v>3.7844999999999999E-9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-1</v>
      </c>
      <c r="F22" s="11">
        <v>0</v>
      </c>
      <c r="G22" s="11">
        <v>3.5663E-9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-1</v>
      </c>
      <c r="F23" s="11">
        <v>0</v>
      </c>
      <c r="G23" s="11">
        <v>3.3344E-9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3.3891999999999998E-9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3.3012000000000001E-9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3.1503000000000002E-9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3.0487E-9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3.0689E-9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2.9236000000000001E-9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2.8144000000000001E-9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2.8006E-9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2.6514000000000002E-9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2.5399999999999999E-9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2.5090999999999999E-9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2.3806999999999999E-9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2.2814E-9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2.2071E-9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2.1391000000000002E-9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2.0441E-9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1.9771000000000001E-9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1.9502000000000002E-9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1.8708999999999998E-9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1.8168E-9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1.7882000000000001E-9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1.7201000000000001E-9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1.6675000000000001E-9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1.6307E-9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1.5856E-9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1.5557999999999999E-9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1.5508000000000001E-9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1.5327999999999999E-9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1.5036000000000001E-9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1.5165999999999999E-9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1.5138999999999999E-9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1.4902000000000001E-9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1.5038999999999999E-9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1.5112999999999999E-9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1.4990999999999999E-9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1.5146999999999999E-9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1.5232999999999999E-9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1.5191000000000001E-9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1.5277E-9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1.5444E-9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1.5519E-9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1.5537999999999999E-9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1.5707E-9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1.5751000000000001E-9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1.5717000000000001E-9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1.5837E-9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1.5839000000000001E-9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1.5812999999999999E-9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1.5894999999999999E-9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1.5954000000000001E-9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1.5997E-9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1.6061000000000001E-9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1.6226E-9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1.6283000000000001E-9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1.6322E-9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1.6501999999999999E-9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1.6577E-9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1.6629999999999999E-9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1.7025000000000001E-9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1.7376000000000001E-9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1.7673000000000001E-9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1.7976000000000001E-9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1.8191000000000001E-9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1.8300999999999999E-9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1.8482000000000001E-9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1.8579E-9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1.8648E-9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1.8708000000000002E-9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1.8792999999999999E-9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1.8894000000000001E-9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1.9100999999999998E-9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1.9313000000000001E-9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1.9659E-9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2.0019999999999999E-9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-3.0005840000000002E-3</v>
      </c>
    </row>
    <row r="4" spans="2:12" x14ac:dyDescent="0.25">
      <c r="B4" t="s">
        <v>29</v>
      </c>
      <c r="C4" t="s">
        <v>28</v>
      </c>
      <c r="D4" s="11">
        <v>-3.0006880000000001E-3</v>
      </c>
    </row>
    <row r="5" spans="2:12" x14ac:dyDescent="0.25">
      <c r="B5" t="s">
        <v>30</v>
      </c>
      <c r="C5" t="s">
        <v>28</v>
      </c>
      <c r="D5" s="11">
        <v>-3.0006270000000001E-3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2.3706999999999998E-8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0</v>
      </c>
      <c r="F12" s="11">
        <v>0</v>
      </c>
      <c r="G12" s="11">
        <v>1.2785E-8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6.6512000000000004E-9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6.3790000000000004E-9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6.3175999999999998E-9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5.2408000000000003E-9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-1</v>
      </c>
      <c r="F17" s="11">
        <v>0</v>
      </c>
      <c r="G17" s="11">
        <v>4.0778999999999997E-9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4.5295000000000001E-9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4.1772999999999996E-9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3.5362999999999999E-9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-1</v>
      </c>
      <c r="F21" s="11">
        <v>0</v>
      </c>
      <c r="G21" s="11">
        <v>3.7362000000000004E-9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-1</v>
      </c>
      <c r="F22" s="11">
        <v>0</v>
      </c>
      <c r="G22" s="11">
        <v>3.6516000000000001E-9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-1</v>
      </c>
      <c r="F23" s="11">
        <v>0</v>
      </c>
      <c r="G23" s="11">
        <v>3.3597999999999999E-9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3.2819E-9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-1</v>
      </c>
      <c r="F25" s="11">
        <v>0</v>
      </c>
      <c r="G25" s="11">
        <v>3.3856E-9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3.2805E-9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3.1134E-9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-1</v>
      </c>
      <c r="F28" s="11">
        <v>0</v>
      </c>
      <c r="G28" s="11">
        <v>3.2091E-9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-1</v>
      </c>
      <c r="F29" s="11">
        <v>0</v>
      </c>
      <c r="G29" s="11">
        <v>3.1663000000000001E-9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3.0244E-9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-1</v>
      </c>
      <c r="F31" s="11">
        <v>0</v>
      </c>
      <c r="G31" s="11">
        <v>3.0155000000000002E-9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2.9818000000000002E-9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2.8595999999999999E-9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2.7908999999999999E-9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2.7768000000000002E-9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2.6970000000000001E-9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-1</v>
      </c>
      <c r="F37" s="11">
        <v>0</v>
      </c>
      <c r="G37" s="11">
        <v>2.5698E-9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2.5396000000000002E-9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2.4922000000000001E-9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2.3704E-9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2.3123E-9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2.2705E-9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2.2038999999999998E-9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2.1380999999999999E-9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2.1267000000000001E-9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2.1076E-9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2.0497000000000001E-9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2.0267E-9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2.0089E-9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1.9587999999999999E-9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1.9127999999999998E-9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1.8943E-9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1.8725999999999999E-9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1.8319000000000001E-9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1.8152000000000001E-9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1.8075E-9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1.7642E-9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1.7316000000000001E-9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1.7259E-9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1.7064E-9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1.6874E-9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1.6985000000000001E-9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1.7132E-9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1.7005999999999999E-9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1.6976E-9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1.7165E-9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1.7083E-9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1.7028E-9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1.7225E-9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1.7332E-9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1.7353E-9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1.7457000000000001E-9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1.7635E-9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1.7510000000000001E-9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1.7505999999999999E-9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1.7639000000000001E-9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1.7599000000000001E-9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1.7548E-9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1.7728999999999999E-9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1.7867E-9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1.7838E-9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1.8137000000000001E-9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1.8217E-9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1.8621E-9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1.9048999999999999E-9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1.9443E-9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1.9981E-9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2.0395999999999999E-9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2.0942000000000001E-9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2.1286999999999999E-9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2.1638999999999999E-9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2.2077000000000001E-9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2.2492E-9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2.2953000000000001E-9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2.3330000000000001E-9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2.3724999999999998E-9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2.4011999999999999E-9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-3.00059E-3</v>
      </c>
    </row>
    <row r="4" spans="2:12" x14ac:dyDescent="0.25">
      <c r="B4" t="s">
        <v>29</v>
      </c>
      <c r="C4" t="s">
        <v>28</v>
      </c>
      <c r="D4" s="11">
        <v>-3.0006910000000002E-3</v>
      </c>
    </row>
    <row r="5" spans="2:12" x14ac:dyDescent="0.25">
      <c r="B5" t="s">
        <v>30</v>
      </c>
      <c r="C5" t="s">
        <v>28</v>
      </c>
      <c r="D5" s="11">
        <v>-3.0006270000000001E-3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2.3425E-8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1.3227999999999999E-8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7.3049999999999999E-9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6.9710999999999996E-9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6.5661000000000003E-9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5.3165999999999996E-9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4.0164999999999999E-9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4.1618000000000002E-9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3.9627E-9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3.2672E-9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3.286E-9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3.2591E-9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2.9354E-9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2.7912E-9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2.7820000000000001E-9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2.5750999999999999E-9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-1</v>
      </c>
      <c r="F27" s="11">
        <v>0</v>
      </c>
      <c r="G27" s="11">
        <v>2.3436000000000001E-9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2.3032000000000001E-9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2.1829E-9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2.0401E-9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2.0301999999999999E-9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-1</v>
      </c>
      <c r="F32" s="11">
        <v>0</v>
      </c>
      <c r="G32" s="11">
        <v>2.005E-9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-1</v>
      </c>
      <c r="F33" s="11">
        <v>0</v>
      </c>
      <c r="G33" s="11">
        <v>1.9553000000000001E-9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1.9606E-9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-1</v>
      </c>
      <c r="F35" s="11">
        <v>0</v>
      </c>
      <c r="G35" s="11">
        <v>1.9448000000000001E-9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1.9165000000000002E-9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1.8494E-9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1.8280000000000001E-9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1.7797E-9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1.7201000000000001E-9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1.7299E-9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1.7094999999999999E-9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1.6904000000000001E-9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1.6885999999999999E-9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1.6761E-9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1.6511E-9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1.6482E-9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1.6372999999999999E-9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1.6182000000000001E-9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1.5936E-9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1.5852000000000001E-9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1.5641E-9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1.5304E-9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1.5361999999999999E-9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1.5168E-9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1.5017000000000001E-9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1.4919E-9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1.4659000000000001E-9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1.4476E-9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1.4313E-9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1.4256999999999999E-9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1.4113000000000001E-9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1.3978000000000001E-9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1.4005999999999999E-9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1.3890000000000001E-9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1.3877999999999999E-9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1.3945999999999999E-9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1.3774E-9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1.3645E-9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1.3672E-9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1.3560999999999999E-9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1.3498E-9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1.3456E-9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1.3533999999999999E-9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1.3412000000000001E-9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1.3426000000000001E-9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1.3642999999999999E-9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1.3563E-9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1.3588999999999999E-9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1.3696999999999999E-9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1.376E-9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1.3904000000000001E-9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1.4137E-9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1.4407E-9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1.4468E-9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1.4620999999999999E-9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1.4812E-9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1.4969999999999999E-9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1.5222E-9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1.5368999999999999E-9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1.5529000000000001E-9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1.5707E-9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1.5851E-9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1.6075000000000001E-9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1.6234E-9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1.6323E-9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1.6526000000000001E-9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-3.0005919999999998E-3</v>
      </c>
    </row>
    <row r="4" spans="2:12" x14ac:dyDescent="0.25">
      <c r="B4" t="s">
        <v>29</v>
      </c>
      <c r="C4" t="s">
        <v>28</v>
      </c>
      <c r="D4" s="11">
        <v>-3.0006949999999998E-3</v>
      </c>
    </row>
    <row r="5" spans="2:12" x14ac:dyDescent="0.25">
      <c r="B5" t="s">
        <v>30</v>
      </c>
      <c r="C5" t="s">
        <v>28</v>
      </c>
      <c r="D5" s="11">
        <v>-3.000628E-3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2.4305999999999999E-8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1.3874000000000001E-8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6.8293999999999996E-9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6.2929999999999997E-9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6.5512000000000003E-9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5.1045999999999999E-9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3.7481000000000003E-9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4.2692999999999997E-9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3.8522000000000004E-9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3.0411000000000002E-9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3.1741E-9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3.0704000000000001E-9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2.5809000000000001E-9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2.4440999999999999E-9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2.6038E-9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2.3198999999999998E-9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2.1482000000000001E-9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2.2386000000000001E-9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2.0650999999999998E-9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-1</v>
      </c>
      <c r="F30" s="11">
        <v>0</v>
      </c>
      <c r="G30" s="11">
        <v>1.8499E-9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1.8937999999999998E-9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1.9123000000000001E-9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1.7521E-9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1.7609E-9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1.8510999999999999E-9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1.7255000000000001E-9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1.6257999999999999E-9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1.6889E-9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1.6392000000000001E-9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1.5287999999999999E-9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1.5629000000000001E-9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1.5725999999999999E-9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1.5165000000000001E-9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1.5037999999999999E-9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1.5491E-9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1.5386E-9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1.5162E-9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1.5617000000000001E-9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1.5556999999999999E-9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1.5222E-9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1.533E-9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1.5196E-9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1.4956000000000001E-9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1.4903999999999999E-9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1.4945E-9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1.4746000000000001E-9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1.4671E-9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1.4826E-9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1.4626999999999999E-9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1.4578000000000001E-9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1.4671E-9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1.4676E-9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1.4619999999999999E-9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1.4703E-9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1.4793000000000001E-9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1.4699000000000001E-9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1.4794999999999999E-9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1.4862000000000001E-9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1.4814999999999999E-9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1.4895999999999999E-9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1.4882999999999999E-9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1.4873E-9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1.4841000000000001E-9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1.4981E-9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1.5021E-9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1.4972E-9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1.5119999999999999E-9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1.5138999999999999E-9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1.5154E-9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1.5208E-9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1.5273000000000001E-9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1.5346000000000001E-9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1.5541E-9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1.5674E-9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1.5741E-9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1.5820999999999999E-9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1.5879000000000001E-9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1.6027000000000001E-9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1.6229000000000001E-9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1.6422E-9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1.661E-9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1.6652E-9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1.6816000000000001E-9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1.6929E-9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1.7116E-9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1.7292E-9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1.7444000000000001E-9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V88"/>
  <sheetViews>
    <sheetView zoomScaleNormal="100" workbookViewId="0"/>
  </sheetViews>
  <sheetFormatPr defaultRowHeight="15" x14ac:dyDescent="0.25"/>
  <cols>
    <col min="1" max="1" width="14.85546875" style="5" customWidth="1"/>
    <col min="2" max="10" width="8.42578125" style="5" bestFit="1" customWidth="1"/>
    <col min="11" max="11" width="9.42578125" style="5" bestFit="1" customWidth="1"/>
    <col min="12" max="14" width="9.140625" style="5"/>
    <col min="15" max="15" width="20.85546875" style="5" bestFit="1" customWidth="1"/>
    <col min="16" max="16" width="17.140625" style="5" customWidth="1"/>
    <col min="17" max="17" width="9.140625" style="5"/>
    <col min="18" max="18" width="11.85546875" style="5" customWidth="1"/>
    <col min="19" max="19" width="8.28515625" style="5" bestFit="1" customWidth="1"/>
    <col min="20" max="16384" width="9.140625" style="5"/>
  </cols>
  <sheetData>
    <row r="1" spans="1:22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51</v>
      </c>
      <c r="Q1" s="4">
        <f>0.000000001*12^(-0.5)</f>
        <v>2.8867513459481294E-10</v>
      </c>
      <c r="R1" s="1" t="s">
        <v>52</v>
      </c>
      <c r="S1" s="6">
        <v>1.0000000000000001E-9</v>
      </c>
      <c r="T1" s="6"/>
      <c r="U1" s="6"/>
      <c r="V1" s="6"/>
    </row>
    <row r="2" spans="1:22" x14ac:dyDescent="0.25">
      <c r="A2" s="5">
        <v>1</v>
      </c>
      <c r="B2" s="6">
        <f>'Plan11 (3)'!$G11</f>
        <v>2.3196999999999999E-8</v>
      </c>
      <c r="C2" s="6">
        <f>'Plan12 (3)'!$G11</f>
        <v>2.2162E-8</v>
      </c>
      <c r="D2" s="6">
        <f>'Plan13 (3)'!$G11</f>
        <v>2.2592000000000001E-8</v>
      </c>
      <c r="E2" s="6">
        <f>'Plan14 (3)'!$G11</f>
        <v>2.2303000000000001E-8</v>
      </c>
      <c r="F2" s="6">
        <f>'Plan15 (3)'!$G11</f>
        <v>2.2787000000000001E-8</v>
      </c>
      <c r="G2" s="6">
        <f>'Plan16 (3)'!$G11</f>
        <v>2.3272000000000002E-8</v>
      </c>
      <c r="H2" s="6">
        <f>'Plan17 (3)'!$G11</f>
        <v>2.304E-8</v>
      </c>
      <c r="I2" s="6">
        <f>'Plan18 (3)'!$G11</f>
        <v>2.3706999999999998E-8</v>
      </c>
      <c r="J2" s="6">
        <f>'Plan19 (3)'!$G11</f>
        <v>2.3425E-8</v>
      </c>
      <c r="K2" s="6">
        <f>'Plan20 (3)'!$G11</f>
        <v>2.4305999999999999E-8</v>
      </c>
      <c r="L2" s="7">
        <f>AVERAGE(B2:K2)</f>
        <v>2.3079100000000003E-8</v>
      </c>
      <c r="M2" s="6">
        <f t="shared" ref="M2:M65" si="0">L2-O2</f>
        <v>2.261196342606399E-8</v>
      </c>
      <c r="N2" s="6">
        <f t="shared" ref="N2:N65" si="1">L2+O2</f>
        <v>2.3546236573936016E-8</v>
      </c>
      <c r="O2" s="6">
        <f>_xlfn.CONFIDENCE.T(0.05,_xlfn.STDEV.S(B2:K2),COUNTA(B2:K2))</f>
        <v>4.6713657393601314E-10</v>
      </c>
      <c r="Q2" s="6"/>
    </row>
    <row r="3" spans="1:22" x14ac:dyDescent="0.25">
      <c r="A3" s="5">
        <v>2</v>
      </c>
      <c r="B3" s="6">
        <f>'Plan11 (3)'!$G12</f>
        <v>1.3367E-8</v>
      </c>
      <c r="C3" s="6">
        <f>'Plan12 (3)'!$G12</f>
        <v>1.3191E-8</v>
      </c>
      <c r="D3" s="6">
        <f>'Plan13 (3)'!$G12</f>
        <v>1.3239E-8</v>
      </c>
      <c r="E3" s="6">
        <f>'Plan14 (3)'!$G12</f>
        <v>1.2744E-8</v>
      </c>
      <c r="F3" s="6">
        <f>'Plan15 (3)'!$G12</f>
        <v>1.2908000000000001E-8</v>
      </c>
      <c r="G3" s="6">
        <f>'Plan16 (3)'!$G12</f>
        <v>1.3516E-8</v>
      </c>
      <c r="H3" s="6">
        <f>'Plan17 (3)'!$G12</f>
        <v>1.2725E-8</v>
      </c>
      <c r="I3" s="6">
        <f>'Plan18 (3)'!$G12</f>
        <v>1.2785E-8</v>
      </c>
      <c r="J3" s="6">
        <f>'Plan19 (3)'!$G12</f>
        <v>1.3227999999999999E-8</v>
      </c>
      <c r="K3" s="6">
        <f>'Plan20 (3)'!$G12</f>
        <v>1.3874000000000001E-8</v>
      </c>
      <c r="L3" s="7">
        <f t="shared" ref="L3:L66" si="2">AVERAGE(B3:K3)</f>
        <v>1.3157700000000001E-8</v>
      </c>
      <c r="M3" s="6">
        <f t="shared" si="0"/>
        <v>1.289029680938338E-8</v>
      </c>
      <c r="N3" s="6">
        <f t="shared" si="1"/>
        <v>1.3425103190616623E-8</v>
      </c>
      <c r="O3" s="6">
        <f t="shared" ref="O3:O66" si="3">_xlfn.CONFIDENCE.T(0.05,_xlfn.STDEV.S(B3:K3),COUNTA(B3:K3))</f>
        <v>2.6740319061662098E-10</v>
      </c>
    </row>
    <row r="4" spans="1:22" x14ac:dyDescent="0.25">
      <c r="A4" s="5">
        <v>3</v>
      </c>
      <c r="B4" s="6">
        <f>'Plan11 (3)'!$G13</f>
        <v>6.6352000000000004E-9</v>
      </c>
      <c r="C4" s="6">
        <f>'Plan12 (3)'!$G13</f>
        <v>6.5990999999999997E-9</v>
      </c>
      <c r="D4" s="6">
        <f>'Plan13 (3)'!$G13</f>
        <v>7.0271000000000003E-9</v>
      </c>
      <c r="E4" s="6">
        <f>'Plan14 (3)'!$G13</f>
        <v>6.6048000000000002E-9</v>
      </c>
      <c r="F4" s="6">
        <f>'Plan15 (3)'!$G13</f>
        <v>6.6793999999999999E-9</v>
      </c>
      <c r="G4" s="6">
        <f>'Plan16 (3)'!$G13</f>
        <v>6.5091999999999998E-9</v>
      </c>
      <c r="H4" s="6">
        <f>'Plan17 (3)'!$G13</f>
        <v>7.1084999999999996E-9</v>
      </c>
      <c r="I4" s="6">
        <f>'Plan18 (3)'!$G13</f>
        <v>6.6512000000000004E-9</v>
      </c>
      <c r="J4" s="6">
        <f>'Plan19 (3)'!$G13</f>
        <v>7.3049999999999999E-9</v>
      </c>
      <c r="K4" s="6">
        <f>'Plan20 (3)'!$G13</f>
        <v>6.8293999999999996E-9</v>
      </c>
      <c r="L4" s="7">
        <f t="shared" si="2"/>
        <v>6.7948900000000003E-9</v>
      </c>
      <c r="M4" s="6">
        <f t="shared" si="0"/>
        <v>6.605737310669459E-9</v>
      </c>
      <c r="N4" s="6">
        <f t="shared" si="1"/>
        <v>6.9840426893305416E-9</v>
      </c>
      <c r="O4" s="6">
        <f t="shared" si="3"/>
        <v>1.8915268933054102E-10</v>
      </c>
    </row>
    <row r="5" spans="1:22" x14ac:dyDescent="0.25">
      <c r="A5" s="5">
        <v>4</v>
      </c>
      <c r="B5" s="6">
        <f>'Plan11 (3)'!$G14</f>
        <v>6.4974000000000003E-9</v>
      </c>
      <c r="C5" s="6">
        <f>'Plan12 (3)'!$G14</f>
        <v>6.5893E-9</v>
      </c>
      <c r="D5" s="6">
        <f>'Plan13 (3)'!$G14</f>
        <v>6.5659000000000002E-9</v>
      </c>
      <c r="E5" s="6">
        <f>'Plan14 (3)'!$G14</f>
        <v>6.9001000000000002E-9</v>
      </c>
      <c r="F5" s="6">
        <f>'Plan15 (3)'!$G14</f>
        <v>6.8698000000000004E-9</v>
      </c>
      <c r="G5" s="6">
        <f>'Plan16 (3)'!$G14</f>
        <v>6.3862999999999998E-9</v>
      </c>
      <c r="H5" s="6">
        <f>'Plan17 (3)'!$G14</f>
        <v>7.0939000000000001E-9</v>
      </c>
      <c r="I5" s="6">
        <f>'Plan18 (3)'!$G14</f>
        <v>6.3790000000000004E-9</v>
      </c>
      <c r="J5" s="6">
        <f>'Plan19 (3)'!$G14</f>
        <v>6.9710999999999996E-9</v>
      </c>
      <c r="K5" s="6">
        <f>'Plan20 (3)'!$G14</f>
        <v>6.2929999999999997E-9</v>
      </c>
      <c r="L5" s="7">
        <f t="shared" si="2"/>
        <v>6.6545800000000008E-9</v>
      </c>
      <c r="M5" s="6">
        <f t="shared" si="0"/>
        <v>6.4529113066388513E-9</v>
      </c>
      <c r="N5" s="6">
        <f t="shared" si="1"/>
        <v>6.8562486933611503E-9</v>
      </c>
      <c r="O5" s="6">
        <f t="shared" si="3"/>
        <v>2.0166869336114946E-10</v>
      </c>
    </row>
    <row r="6" spans="1:22" x14ac:dyDescent="0.25">
      <c r="A6" s="5">
        <v>5</v>
      </c>
      <c r="B6" s="6">
        <f>'Plan11 (3)'!$G15</f>
        <v>6.5048999999999997E-9</v>
      </c>
      <c r="C6" s="6">
        <f>'Plan12 (3)'!$G15</f>
        <v>6.6104000000000003E-9</v>
      </c>
      <c r="D6" s="6">
        <f>'Plan13 (3)'!$G15</f>
        <v>6.3380999999999999E-9</v>
      </c>
      <c r="E6" s="6">
        <f>'Plan14 (3)'!$G15</f>
        <v>6.6571999999999997E-9</v>
      </c>
      <c r="F6" s="6">
        <f>'Plan15 (3)'!$G15</f>
        <v>6.8604E-9</v>
      </c>
      <c r="G6" s="6">
        <f>'Plan16 (3)'!$G15</f>
        <v>6.3996999999999997E-9</v>
      </c>
      <c r="H6" s="6">
        <f>'Plan17 (3)'!$G15</f>
        <v>6.2786000000000002E-9</v>
      </c>
      <c r="I6" s="6">
        <f>'Plan18 (3)'!$G15</f>
        <v>6.3175999999999998E-9</v>
      </c>
      <c r="J6" s="6">
        <f>'Plan19 (3)'!$G15</f>
        <v>6.5661000000000003E-9</v>
      </c>
      <c r="K6" s="6">
        <f>'Plan20 (3)'!$G15</f>
        <v>6.5512000000000003E-9</v>
      </c>
      <c r="L6" s="7">
        <f t="shared" si="2"/>
        <v>6.5084200000000002E-9</v>
      </c>
      <c r="M6" s="6">
        <f t="shared" si="0"/>
        <v>6.3796439946987613E-9</v>
      </c>
      <c r="N6" s="6">
        <f t="shared" si="1"/>
        <v>6.637196005301239E-9</v>
      </c>
      <c r="O6" s="6">
        <f t="shared" si="3"/>
        <v>1.2877600530123921E-10</v>
      </c>
    </row>
    <row r="7" spans="1:22" x14ac:dyDescent="0.25">
      <c r="A7" s="5">
        <v>6</v>
      </c>
      <c r="B7" s="6">
        <f>'Plan11 (3)'!$G16</f>
        <v>4.8980999999999999E-9</v>
      </c>
      <c r="C7" s="6">
        <f>'Plan12 (3)'!$G16</f>
        <v>5.0257999999999997E-9</v>
      </c>
      <c r="D7" s="6">
        <f>'Plan13 (3)'!$G16</f>
        <v>4.9192999999999998E-9</v>
      </c>
      <c r="E7" s="6">
        <f>'Plan14 (3)'!$G16</f>
        <v>5.2063999999999997E-9</v>
      </c>
      <c r="F7" s="6">
        <f>'Plan15 (3)'!$G16</f>
        <v>5.1992999999999996E-9</v>
      </c>
      <c r="G7" s="6">
        <f>'Plan16 (3)'!$G16</f>
        <v>4.8291999999999998E-9</v>
      </c>
      <c r="H7" s="6">
        <f>'Plan17 (3)'!$G16</f>
        <v>5.1641000000000004E-9</v>
      </c>
      <c r="I7" s="6">
        <f>'Plan18 (3)'!$G16</f>
        <v>5.2408000000000003E-9</v>
      </c>
      <c r="J7" s="6">
        <f>'Plan19 (3)'!$G16</f>
        <v>5.3165999999999996E-9</v>
      </c>
      <c r="K7" s="6">
        <f>'Plan20 (3)'!$G16</f>
        <v>5.1045999999999999E-9</v>
      </c>
      <c r="L7" s="7">
        <f t="shared" si="2"/>
        <v>5.0904200000000003E-9</v>
      </c>
      <c r="M7" s="6">
        <f t="shared" si="0"/>
        <v>4.972781003558319E-9</v>
      </c>
      <c r="N7" s="6">
        <f t="shared" si="1"/>
        <v>5.2080589964416816E-9</v>
      </c>
      <c r="O7" s="6">
        <f t="shared" si="3"/>
        <v>1.1763899644168114E-10</v>
      </c>
    </row>
    <row r="8" spans="1:22" x14ac:dyDescent="0.25">
      <c r="A8" s="5">
        <v>7</v>
      </c>
      <c r="B8" s="6">
        <f>'Plan11 (3)'!$G17</f>
        <v>3.5705E-9</v>
      </c>
      <c r="C8" s="6">
        <f>'Plan12 (3)'!$G17</f>
        <v>3.9845999999999997E-9</v>
      </c>
      <c r="D8" s="6">
        <f>'Plan13 (3)'!$G17</f>
        <v>3.6541E-9</v>
      </c>
      <c r="E8" s="6">
        <f>'Plan14 (3)'!$G17</f>
        <v>4.2929000000000003E-9</v>
      </c>
      <c r="F8" s="6">
        <f>'Plan15 (3)'!$G17</f>
        <v>3.9693000000000003E-9</v>
      </c>
      <c r="G8" s="6">
        <f>'Plan16 (3)'!$G17</f>
        <v>3.8367999999999998E-9</v>
      </c>
      <c r="H8" s="6">
        <f>'Plan17 (3)'!$G17</f>
        <v>4.3601000000000003E-9</v>
      </c>
      <c r="I8" s="6">
        <f>'Plan18 (3)'!$G17</f>
        <v>4.0778999999999997E-9</v>
      </c>
      <c r="J8" s="6">
        <f>'Plan19 (3)'!$G17</f>
        <v>4.0164999999999999E-9</v>
      </c>
      <c r="K8" s="6">
        <f>'Plan20 (3)'!$G17</f>
        <v>3.7481000000000003E-9</v>
      </c>
      <c r="L8" s="7">
        <f t="shared" si="2"/>
        <v>3.95108E-9</v>
      </c>
      <c r="M8" s="6">
        <f t="shared" si="0"/>
        <v>3.7674166167145842E-9</v>
      </c>
      <c r="N8" s="6">
        <f t="shared" si="1"/>
        <v>4.1347433832854157E-9</v>
      </c>
      <c r="O8" s="6">
        <f t="shared" si="3"/>
        <v>1.8366338328541571E-10</v>
      </c>
    </row>
    <row r="9" spans="1:22" x14ac:dyDescent="0.25">
      <c r="A9" s="5">
        <v>8</v>
      </c>
      <c r="B9" s="6">
        <f>'Plan11 (3)'!$G18</f>
        <v>4.0361999999999998E-9</v>
      </c>
      <c r="C9" s="6">
        <f>'Plan12 (3)'!$G18</f>
        <v>4.2400000000000002E-9</v>
      </c>
      <c r="D9" s="6">
        <f>'Plan13 (3)'!$G18</f>
        <v>4.1944000000000003E-9</v>
      </c>
      <c r="E9" s="6">
        <f>'Plan14 (3)'!$G18</f>
        <v>4.4077E-9</v>
      </c>
      <c r="F9" s="6">
        <f>'Plan15 (3)'!$G18</f>
        <v>4.3268000000000004E-9</v>
      </c>
      <c r="G9" s="6">
        <f>'Plan16 (3)'!$G18</f>
        <v>4.2001E-9</v>
      </c>
      <c r="H9" s="6">
        <f>'Plan17 (3)'!$G18</f>
        <v>4.4249999999999999E-9</v>
      </c>
      <c r="I9" s="6">
        <f>'Plan18 (3)'!$G18</f>
        <v>4.5295000000000001E-9</v>
      </c>
      <c r="J9" s="6">
        <f>'Plan19 (3)'!$G18</f>
        <v>4.1618000000000002E-9</v>
      </c>
      <c r="K9" s="6">
        <f>'Plan20 (3)'!$G18</f>
        <v>4.2692999999999997E-9</v>
      </c>
      <c r="L9" s="7">
        <f t="shared" si="2"/>
        <v>4.2790800000000005E-9</v>
      </c>
      <c r="M9" s="6">
        <f t="shared" si="0"/>
        <v>4.1749771058324061E-9</v>
      </c>
      <c r="N9" s="6">
        <f t="shared" si="1"/>
        <v>4.3831828941675948E-9</v>
      </c>
      <c r="O9" s="6">
        <f t="shared" si="3"/>
        <v>1.0410289416759473E-10</v>
      </c>
    </row>
    <row r="10" spans="1:22" x14ac:dyDescent="0.25">
      <c r="A10" s="5">
        <v>9</v>
      </c>
      <c r="B10" s="6">
        <f>'Plan11 (3)'!$G19</f>
        <v>3.6854000000000001E-9</v>
      </c>
      <c r="C10" s="6">
        <f>'Plan12 (3)'!$G19</f>
        <v>3.8471000000000001E-9</v>
      </c>
      <c r="D10" s="6">
        <f>'Plan13 (3)'!$G19</f>
        <v>3.9404000000000002E-9</v>
      </c>
      <c r="E10" s="6">
        <f>'Plan14 (3)'!$G19</f>
        <v>4.0733999999999996E-9</v>
      </c>
      <c r="F10" s="6">
        <f>'Plan15 (3)'!$G19</f>
        <v>3.8205000000000002E-9</v>
      </c>
      <c r="G10" s="6">
        <f>'Plan16 (3)'!$G19</f>
        <v>3.8225999999999996E-9</v>
      </c>
      <c r="H10" s="6">
        <f>'Plan17 (3)'!$G19</f>
        <v>4.0266000000000001E-9</v>
      </c>
      <c r="I10" s="6">
        <f>'Plan18 (3)'!$G19</f>
        <v>4.1772999999999996E-9</v>
      </c>
      <c r="J10" s="6">
        <f>'Plan19 (3)'!$G19</f>
        <v>3.9627E-9</v>
      </c>
      <c r="K10" s="6">
        <f>'Plan20 (3)'!$G19</f>
        <v>3.8522000000000004E-9</v>
      </c>
      <c r="L10" s="7">
        <f t="shared" si="2"/>
        <v>3.9208199999999997E-9</v>
      </c>
      <c r="M10" s="6">
        <f t="shared" si="0"/>
        <v>3.8175212749267067E-9</v>
      </c>
      <c r="N10" s="6">
        <f t="shared" si="1"/>
        <v>4.0241187250732927E-9</v>
      </c>
      <c r="O10" s="6">
        <f t="shared" si="3"/>
        <v>1.0329872507329281E-10</v>
      </c>
    </row>
    <row r="11" spans="1:22" x14ac:dyDescent="0.25">
      <c r="A11" s="8">
        <v>10</v>
      </c>
      <c r="B11" s="6">
        <f>'Plan11 (3)'!$G20</f>
        <v>2.8511999999999998E-9</v>
      </c>
      <c r="C11" s="6">
        <f>'Plan12 (3)'!$G20</f>
        <v>3.1760999999999998E-9</v>
      </c>
      <c r="D11" s="6">
        <f>'Plan13 (3)'!$G20</f>
        <v>3.1540000000000001E-9</v>
      </c>
      <c r="E11" s="6">
        <f>'Plan14 (3)'!$G20</f>
        <v>3.4362000000000002E-9</v>
      </c>
      <c r="F11" s="6">
        <f>'Plan15 (3)'!$G20</f>
        <v>3.0435000000000001E-9</v>
      </c>
      <c r="G11" s="6">
        <f>'Plan16 (3)'!$G20</f>
        <v>3.1542000000000001E-9</v>
      </c>
      <c r="H11" s="6">
        <f>'Plan17 (3)'!$G20</f>
        <v>3.5629000000000002E-9</v>
      </c>
      <c r="I11" s="6">
        <f>'Plan18 (3)'!$G20</f>
        <v>3.5362999999999999E-9</v>
      </c>
      <c r="J11" s="6">
        <f>'Plan19 (3)'!$G20</f>
        <v>3.2672E-9</v>
      </c>
      <c r="K11" s="6">
        <f>'Plan20 (3)'!$G20</f>
        <v>3.0411000000000002E-9</v>
      </c>
      <c r="L11" s="7">
        <f t="shared" si="2"/>
        <v>3.2222699999999999E-9</v>
      </c>
      <c r="M11" s="6">
        <f t="shared" si="0"/>
        <v>3.05769841605217E-9</v>
      </c>
      <c r="N11" s="6">
        <f t="shared" si="1"/>
        <v>3.3868415839478298E-9</v>
      </c>
      <c r="O11" s="6">
        <f t="shared" si="3"/>
        <v>1.6457158394782976E-10</v>
      </c>
    </row>
    <row r="12" spans="1:22" x14ac:dyDescent="0.25">
      <c r="A12" s="5">
        <v>11</v>
      </c>
      <c r="B12" s="6">
        <f>'Plan11 (3)'!$G21</f>
        <v>3.1085000000000002E-9</v>
      </c>
      <c r="C12" s="6">
        <f>'Plan12 (3)'!$G21</f>
        <v>3.3595999999999999E-9</v>
      </c>
      <c r="D12" s="6">
        <f>'Plan13 (3)'!$G21</f>
        <v>3.3011000000000001E-9</v>
      </c>
      <c r="E12" s="6">
        <f>'Plan14 (3)'!$G21</f>
        <v>3.4977E-9</v>
      </c>
      <c r="F12" s="6">
        <f>'Plan15 (3)'!$G21</f>
        <v>3.3659000000000001E-9</v>
      </c>
      <c r="G12" s="6">
        <f>'Plan16 (3)'!$G21</f>
        <v>3.1796000000000001E-9</v>
      </c>
      <c r="H12" s="6">
        <f>'Plan17 (3)'!$G21</f>
        <v>3.7844999999999999E-9</v>
      </c>
      <c r="I12" s="6">
        <f>'Plan18 (3)'!$G21</f>
        <v>3.7362000000000004E-9</v>
      </c>
      <c r="J12" s="6">
        <f>'Plan19 (3)'!$G21</f>
        <v>3.286E-9</v>
      </c>
      <c r="K12" s="6">
        <f>'Plan20 (3)'!$G21</f>
        <v>3.1741E-9</v>
      </c>
      <c r="L12" s="7">
        <f t="shared" si="2"/>
        <v>3.3793200000000003E-9</v>
      </c>
      <c r="M12" s="6">
        <f t="shared" si="0"/>
        <v>3.2147549539078616E-9</v>
      </c>
      <c r="N12" s="6">
        <f t="shared" si="1"/>
        <v>3.543885046092139E-9</v>
      </c>
      <c r="O12" s="6">
        <f t="shared" si="3"/>
        <v>1.6456504609213888E-10</v>
      </c>
    </row>
    <row r="13" spans="1:22" x14ac:dyDescent="0.25">
      <c r="A13" s="5">
        <v>12</v>
      </c>
      <c r="B13" s="6">
        <f>'Plan11 (3)'!$G22</f>
        <v>3.1072999999999998E-9</v>
      </c>
      <c r="C13" s="6">
        <f>'Plan12 (3)'!$G22</f>
        <v>3.2932000000000002E-9</v>
      </c>
      <c r="D13" s="6">
        <f>'Plan13 (3)'!$G22</f>
        <v>3.2846E-9</v>
      </c>
      <c r="E13" s="6">
        <f>'Plan14 (3)'!$G22</f>
        <v>3.4984999999999999E-9</v>
      </c>
      <c r="F13" s="6">
        <f>'Plan15 (3)'!$G22</f>
        <v>3.3230999999999998E-9</v>
      </c>
      <c r="G13" s="6">
        <f>'Plan16 (3)'!$G22</f>
        <v>3.1787000000000002E-9</v>
      </c>
      <c r="H13" s="6">
        <f>'Plan17 (3)'!$G22</f>
        <v>3.5663E-9</v>
      </c>
      <c r="I13" s="6">
        <f>'Plan18 (3)'!$G22</f>
        <v>3.6516000000000001E-9</v>
      </c>
      <c r="J13" s="6">
        <f>'Plan19 (3)'!$G22</f>
        <v>3.2591E-9</v>
      </c>
      <c r="K13" s="6">
        <f>'Plan20 (3)'!$G22</f>
        <v>3.0704000000000001E-9</v>
      </c>
      <c r="L13" s="7">
        <f t="shared" si="2"/>
        <v>3.3232800000000005E-9</v>
      </c>
      <c r="M13" s="6">
        <f t="shared" si="0"/>
        <v>3.1851475892076951E-9</v>
      </c>
      <c r="N13" s="6">
        <f t="shared" si="1"/>
        <v>3.461412410792306E-9</v>
      </c>
      <c r="O13" s="6">
        <f t="shared" si="3"/>
        <v>1.3813241079230533E-10</v>
      </c>
    </row>
    <row r="14" spans="1:22" x14ac:dyDescent="0.25">
      <c r="A14" s="5">
        <v>13</v>
      </c>
      <c r="B14" s="6">
        <f>'Plan11 (3)'!$G23</f>
        <v>2.6426E-9</v>
      </c>
      <c r="C14" s="6">
        <f>'Plan12 (3)'!$G23</f>
        <v>3.0560999999999998E-9</v>
      </c>
      <c r="D14" s="6">
        <f>'Plan13 (3)'!$G23</f>
        <v>2.8362000000000002E-9</v>
      </c>
      <c r="E14" s="6">
        <f>'Plan14 (3)'!$G23</f>
        <v>3.1519999999999999E-9</v>
      </c>
      <c r="F14" s="6">
        <f>'Plan15 (3)'!$G23</f>
        <v>2.8885000000000001E-9</v>
      </c>
      <c r="G14" s="6">
        <f>'Plan16 (3)'!$G23</f>
        <v>2.7808000000000002E-9</v>
      </c>
      <c r="H14" s="6">
        <f>'Plan17 (3)'!$G23</f>
        <v>3.3344E-9</v>
      </c>
      <c r="I14" s="6">
        <f>'Plan18 (3)'!$G23</f>
        <v>3.3597999999999999E-9</v>
      </c>
      <c r="J14" s="6">
        <f>'Plan19 (3)'!$G23</f>
        <v>2.9354E-9</v>
      </c>
      <c r="K14" s="6">
        <f>'Plan20 (3)'!$G23</f>
        <v>2.5809000000000001E-9</v>
      </c>
      <c r="L14" s="7">
        <f t="shared" si="2"/>
        <v>2.9566699999999999E-9</v>
      </c>
      <c r="M14" s="6">
        <f t="shared" si="0"/>
        <v>2.7653694533552428E-9</v>
      </c>
      <c r="N14" s="6">
        <f t="shared" si="1"/>
        <v>3.1479705466447569E-9</v>
      </c>
      <c r="O14" s="6">
        <f t="shared" si="3"/>
        <v>1.9130054664475688E-10</v>
      </c>
    </row>
    <row r="15" spans="1:22" x14ac:dyDescent="0.25">
      <c r="A15" s="5">
        <v>14</v>
      </c>
      <c r="B15" s="6">
        <f>'Plan11 (3)'!$G24</f>
        <v>2.5745000000000002E-9</v>
      </c>
      <c r="C15" s="6">
        <f>'Plan12 (3)'!$G24</f>
        <v>3.0776999999999998E-9</v>
      </c>
      <c r="D15" s="6">
        <f>'Plan13 (3)'!$G24</f>
        <v>2.7208E-9</v>
      </c>
      <c r="E15" s="6">
        <f>'Plan14 (3)'!$G24</f>
        <v>3.1422000000000002E-9</v>
      </c>
      <c r="F15" s="6">
        <f>'Plan15 (3)'!$G24</f>
        <v>2.8842E-9</v>
      </c>
      <c r="G15" s="6">
        <f>'Plan16 (3)'!$G24</f>
        <v>2.6353999999999998E-9</v>
      </c>
      <c r="H15" s="6">
        <f>'Plan17 (3)'!$G24</f>
        <v>3.3891999999999998E-9</v>
      </c>
      <c r="I15" s="6">
        <f>'Plan18 (3)'!$G24</f>
        <v>3.2819E-9</v>
      </c>
      <c r="J15" s="6">
        <f>'Plan19 (3)'!$G24</f>
        <v>2.7912E-9</v>
      </c>
      <c r="K15" s="6">
        <f>'Plan20 (3)'!$G24</f>
        <v>2.4440999999999999E-9</v>
      </c>
      <c r="L15" s="7">
        <f t="shared" si="2"/>
        <v>2.8941199999999999E-9</v>
      </c>
      <c r="M15" s="6">
        <f t="shared" si="0"/>
        <v>2.6675194692149674E-9</v>
      </c>
      <c r="N15" s="6">
        <f t="shared" si="1"/>
        <v>3.1207205307850325E-9</v>
      </c>
      <c r="O15" s="6">
        <f t="shared" si="3"/>
        <v>2.2660053078503264E-10</v>
      </c>
    </row>
    <row r="16" spans="1:22" x14ac:dyDescent="0.25">
      <c r="A16" s="5">
        <v>15</v>
      </c>
      <c r="B16" s="6">
        <f>'Plan11 (3)'!$G25</f>
        <v>2.7274999999999999E-9</v>
      </c>
      <c r="C16" s="6">
        <f>'Plan12 (3)'!$G25</f>
        <v>3.0490000000000001E-9</v>
      </c>
      <c r="D16" s="6">
        <f>'Plan13 (3)'!$G25</f>
        <v>2.818E-9</v>
      </c>
      <c r="E16" s="6">
        <f>'Plan14 (3)'!$G25</f>
        <v>3.1966999999999999E-9</v>
      </c>
      <c r="F16" s="6">
        <f>'Plan15 (3)'!$G25</f>
        <v>2.9583E-9</v>
      </c>
      <c r="G16" s="6">
        <f>'Plan16 (3)'!$G25</f>
        <v>2.7458000000000002E-9</v>
      </c>
      <c r="H16" s="6">
        <f>'Plan17 (3)'!$G25</f>
        <v>3.3012000000000001E-9</v>
      </c>
      <c r="I16" s="6">
        <f>'Plan18 (3)'!$G25</f>
        <v>3.3856E-9</v>
      </c>
      <c r="J16" s="6">
        <f>'Plan19 (3)'!$G25</f>
        <v>2.7820000000000001E-9</v>
      </c>
      <c r="K16" s="6">
        <f>'Plan20 (3)'!$G25</f>
        <v>2.6038E-9</v>
      </c>
      <c r="L16" s="7">
        <f t="shared" si="2"/>
        <v>2.9567900000000005E-9</v>
      </c>
      <c r="M16" s="6">
        <f t="shared" si="0"/>
        <v>2.7660184910512965E-9</v>
      </c>
      <c r="N16" s="6">
        <f t="shared" si="1"/>
        <v>3.1475615089487045E-9</v>
      </c>
      <c r="O16" s="6">
        <f t="shared" si="3"/>
        <v>1.9077150894870409E-10</v>
      </c>
    </row>
    <row r="17" spans="1:15" x14ac:dyDescent="0.25">
      <c r="A17" s="5">
        <v>16</v>
      </c>
      <c r="B17" s="6">
        <f>'Plan11 (3)'!$G26</f>
        <v>2.4948000000000001E-9</v>
      </c>
      <c r="C17" s="6">
        <f>'Plan12 (3)'!$G26</f>
        <v>2.9210000000000001E-9</v>
      </c>
      <c r="D17" s="6">
        <f>'Plan13 (3)'!$G26</f>
        <v>2.6981E-9</v>
      </c>
      <c r="E17" s="6">
        <f>'Plan14 (3)'!$G26</f>
        <v>3.0274000000000001E-9</v>
      </c>
      <c r="F17" s="6">
        <f>'Plan15 (3)'!$G26</f>
        <v>2.6953E-9</v>
      </c>
      <c r="G17" s="6">
        <f>'Plan16 (3)'!$G26</f>
        <v>2.5351000000000001E-9</v>
      </c>
      <c r="H17" s="6">
        <f>'Plan17 (3)'!$G26</f>
        <v>3.1503000000000002E-9</v>
      </c>
      <c r="I17" s="6">
        <f>'Plan18 (3)'!$G26</f>
        <v>3.2805E-9</v>
      </c>
      <c r="J17" s="6">
        <f>'Plan19 (3)'!$G26</f>
        <v>2.5750999999999999E-9</v>
      </c>
      <c r="K17" s="6">
        <f>'Plan20 (3)'!$G26</f>
        <v>2.3198999999999998E-9</v>
      </c>
      <c r="L17" s="7">
        <f t="shared" si="2"/>
        <v>2.7697499999999999E-9</v>
      </c>
      <c r="M17" s="6">
        <f t="shared" si="0"/>
        <v>2.5465030840773919E-9</v>
      </c>
      <c r="N17" s="6">
        <f t="shared" si="1"/>
        <v>2.9929969159226078E-9</v>
      </c>
      <c r="O17" s="6">
        <f t="shared" si="3"/>
        <v>2.2324691592260796E-10</v>
      </c>
    </row>
    <row r="18" spans="1:15" x14ac:dyDescent="0.25">
      <c r="A18" s="5">
        <v>17</v>
      </c>
      <c r="B18" s="6">
        <f>'Plan11 (3)'!$G27</f>
        <v>2.3586000000000001E-9</v>
      </c>
      <c r="C18" s="6">
        <f>'Plan12 (3)'!$G27</f>
        <v>2.8144000000000001E-9</v>
      </c>
      <c r="D18" s="6">
        <f>'Plan13 (3)'!$G27</f>
        <v>2.5115999999999999E-9</v>
      </c>
      <c r="E18" s="6">
        <f>'Plan14 (3)'!$G27</f>
        <v>2.8705E-9</v>
      </c>
      <c r="F18" s="6">
        <f>'Plan15 (3)'!$G27</f>
        <v>2.4789000000000002E-9</v>
      </c>
      <c r="G18" s="6">
        <f>'Plan16 (3)'!$G27</f>
        <v>2.3907E-9</v>
      </c>
      <c r="H18" s="6">
        <f>'Plan17 (3)'!$G27</f>
        <v>3.0487E-9</v>
      </c>
      <c r="I18" s="6">
        <f>'Plan18 (3)'!$G27</f>
        <v>3.1134E-9</v>
      </c>
      <c r="J18" s="6">
        <f>'Plan19 (3)'!$G27</f>
        <v>2.3436000000000001E-9</v>
      </c>
      <c r="K18" s="6">
        <f>'Plan20 (3)'!$G27</f>
        <v>2.1482000000000001E-9</v>
      </c>
      <c r="L18" s="7">
        <f t="shared" si="2"/>
        <v>2.6078600000000001E-9</v>
      </c>
      <c r="M18" s="6">
        <f t="shared" si="0"/>
        <v>2.3720626840488863E-9</v>
      </c>
      <c r="N18" s="6">
        <f t="shared" si="1"/>
        <v>2.843657315951114E-9</v>
      </c>
      <c r="O18" s="6">
        <f t="shared" si="3"/>
        <v>2.3579731595111376E-10</v>
      </c>
    </row>
    <row r="19" spans="1:15" x14ac:dyDescent="0.25">
      <c r="A19" s="8">
        <v>18</v>
      </c>
      <c r="B19" s="6">
        <f>'Plan11 (3)'!$G28</f>
        <v>2.5075999999999999E-9</v>
      </c>
      <c r="C19" s="6">
        <f>'Plan12 (3)'!$G28</f>
        <v>2.8409E-9</v>
      </c>
      <c r="D19" s="6">
        <f>'Plan13 (3)'!$G28</f>
        <v>2.5849E-9</v>
      </c>
      <c r="E19" s="6">
        <f>'Plan14 (3)'!$G28</f>
        <v>2.8856E-9</v>
      </c>
      <c r="F19" s="6">
        <f>'Plan15 (3)'!$G28</f>
        <v>2.5662000000000001E-9</v>
      </c>
      <c r="G19" s="6">
        <f>'Plan16 (3)'!$G28</f>
        <v>2.4132999999999999E-9</v>
      </c>
      <c r="H19" s="6">
        <f>'Plan17 (3)'!$G28</f>
        <v>3.0689E-9</v>
      </c>
      <c r="I19" s="6">
        <f>'Plan18 (3)'!$G28</f>
        <v>3.2091E-9</v>
      </c>
      <c r="J19" s="6">
        <f>'Plan19 (3)'!$G28</f>
        <v>2.3032000000000001E-9</v>
      </c>
      <c r="K19" s="6">
        <f>'Plan20 (3)'!$G28</f>
        <v>2.2386000000000001E-9</v>
      </c>
      <c r="L19" s="7">
        <f t="shared" si="2"/>
        <v>2.6618300000000001E-9</v>
      </c>
      <c r="M19" s="6">
        <f t="shared" si="0"/>
        <v>2.4287185123510111E-9</v>
      </c>
      <c r="N19" s="6">
        <f t="shared" si="1"/>
        <v>2.8949414876489891E-9</v>
      </c>
      <c r="O19" s="6">
        <f t="shared" si="3"/>
        <v>2.3311148764898908E-10</v>
      </c>
    </row>
    <row r="20" spans="1:15" x14ac:dyDescent="0.25">
      <c r="A20" s="9">
        <v>19</v>
      </c>
      <c r="B20" s="6">
        <f>'Plan11 (3)'!$G29</f>
        <v>2.4587999999999998E-9</v>
      </c>
      <c r="C20" s="6">
        <f>'Plan12 (3)'!$G29</f>
        <v>2.7897E-9</v>
      </c>
      <c r="D20" s="6">
        <f>'Plan13 (3)'!$G29</f>
        <v>2.5822E-9</v>
      </c>
      <c r="E20" s="6">
        <f>'Plan14 (3)'!$G29</f>
        <v>2.8068999999999999E-9</v>
      </c>
      <c r="F20" s="6">
        <f>'Plan15 (3)'!$G29</f>
        <v>2.3741999999999999E-9</v>
      </c>
      <c r="G20" s="6">
        <f>'Plan16 (3)'!$G29</f>
        <v>2.2954000000000002E-9</v>
      </c>
      <c r="H20" s="6">
        <f>'Plan17 (3)'!$G29</f>
        <v>2.9236000000000001E-9</v>
      </c>
      <c r="I20" s="6">
        <f>'Plan18 (3)'!$G29</f>
        <v>3.1663000000000001E-9</v>
      </c>
      <c r="J20" s="6">
        <f>'Plan19 (3)'!$G29</f>
        <v>2.1829E-9</v>
      </c>
      <c r="K20" s="6">
        <f>'Plan20 (3)'!$G29</f>
        <v>2.0650999999999998E-9</v>
      </c>
      <c r="L20" s="7">
        <f t="shared" si="2"/>
        <v>2.5645099999999999E-9</v>
      </c>
      <c r="M20" s="6">
        <f t="shared" si="0"/>
        <v>2.3126381656260549E-9</v>
      </c>
      <c r="N20" s="6">
        <f t="shared" si="1"/>
        <v>2.8163818343739448E-9</v>
      </c>
      <c r="O20" s="6">
        <f t="shared" si="3"/>
        <v>2.5187183437394482E-10</v>
      </c>
    </row>
    <row r="21" spans="1:15" x14ac:dyDescent="0.25">
      <c r="A21" s="9">
        <v>20</v>
      </c>
      <c r="B21" s="6">
        <f>'Plan11 (3)'!$G30</f>
        <v>2.2888999999999998E-9</v>
      </c>
      <c r="C21" s="6">
        <f>'Plan12 (3)'!$G30</f>
        <v>2.7445000000000002E-9</v>
      </c>
      <c r="D21" s="6">
        <f>'Plan13 (3)'!$G30</f>
        <v>2.3819999999999998E-9</v>
      </c>
      <c r="E21" s="6">
        <f>'Plan14 (3)'!$G30</f>
        <v>2.6663999999999998E-9</v>
      </c>
      <c r="F21" s="6">
        <f>'Plan15 (3)'!$G30</f>
        <v>2.1258999999999999E-9</v>
      </c>
      <c r="G21" s="6">
        <f>'Plan16 (3)'!$G30</f>
        <v>2.1780000000000001E-9</v>
      </c>
      <c r="H21" s="6">
        <f>'Plan17 (3)'!$G30</f>
        <v>2.8144000000000001E-9</v>
      </c>
      <c r="I21" s="6">
        <f>'Plan18 (3)'!$G30</f>
        <v>3.0244E-9</v>
      </c>
      <c r="J21" s="6">
        <f>'Plan19 (3)'!$G30</f>
        <v>2.0401E-9</v>
      </c>
      <c r="K21" s="6">
        <f>'Plan20 (3)'!$G30</f>
        <v>1.8499E-9</v>
      </c>
      <c r="L21" s="7">
        <f t="shared" si="2"/>
        <v>2.41145E-9</v>
      </c>
      <c r="M21" s="6">
        <f t="shared" si="0"/>
        <v>2.1375762477340872E-9</v>
      </c>
      <c r="N21" s="6">
        <f t="shared" si="1"/>
        <v>2.6853237522659128E-9</v>
      </c>
      <c r="O21" s="6">
        <f t="shared" si="3"/>
        <v>2.7387375226591282E-10</v>
      </c>
    </row>
    <row r="22" spans="1:15" x14ac:dyDescent="0.25">
      <c r="A22" s="9">
        <v>21</v>
      </c>
      <c r="B22" s="6">
        <f>'Plan11 (3)'!$G31</f>
        <v>2.3777000000000002E-9</v>
      </c>
      <c r="C22" s="6">
        <f>'Plan12 (3)'!$G31</f>
        <v>2.7447999999999999E-9</v>
      </c>
      <c r="D22" s="6">
        <f>'Plan13 (3)'!$G31</f>
        <v>2.3548000000000002E-9</v>
      </c>
      <c r="E22" s="6">
        <f>'Plan14 (3)'!$G31</f>
        <v>2.6966E-9</v>
      </c>
      <c r="F22" s="6">
        <f>'Plan15 (3)'!$G31</f>
        <v>2.1941000000000001E-9</v>
      </c>
      <c r="G22" s="6">
        <f>'Plan16 (3)'!$G31</f>
        <v>2.1433999999999999E-9</v>
      </c>
      <c r="H22" s="6">
        <f>'Plan17 (3)'!$G31</f>
        <v>2.8006E-9</v>
      </c>
      <c r="I22" s="6">
        <f>'Plan18 (3)'!$G31</f>
        <v>3.0155000000000002E-9</v>
      </c>
      <c r="J22" s="6">
        <f>'Plan19 (3)'!$G31</f>
        <v>2.0301999999999999E-9</v>
      </c>
      <c r="K22" s="6">
        <f>'Plan20 (3)'!$G31</f>
        <v>1.8937999999999998E-9</v>
      </c>
      <c r="L22" s="7">
        <f t="shared" si="2"/>
        <v>2.42515E-9</v>
      </c>
      <c r="M22" s="6">
        <f t="shared" si="0"/>
        <v>2.1592331111911217E-9</v>
      </c>
      <c r="N22" s="6">
        <f t="shared" si="1"/>
        <v>2.6910668888088784E-9</v>
      </c>
      <c r="O22" s="6">
        <f t="shared" si="3"/>
        <v>2.6591688880887853E-10</v>
      </c>
    </row>
    <row r="23" spans="1:15" x14ac:dyDescent="0.25">
      <c r="A23" s="9">
        <v>22</v>
      </c>
      <c r="B23" s="6">
        <f>'Plan11 (3)'!$G32</f>
        <v>2.4469999999999999E-9</v>
      </c>
      <c r="C23" s="6">
        <f>'Plan12 (3)'!$G32</f>
        <v>2.6999000000000002E-9</v>
      </c>
      <c r="D23" s="6">
        <f>'Plan13 (3)'!$G32</f>
        <v>2.3899999999999998E-9</v>
      </c>
      <c r="E23" s="6">
        <f>'Plan14 (3)'!$G32</f>
        <v>2.6419000000000002E-9</v>
      </c>
      <c r="F23" s="6">
        <f>'Plan15 (3)'!$G32</f>
        <v>2.1771999999999999E-9</v>
      </c>
      <c r="G23" s="6">
        <f>'Plan16 (3)'!$G32</f>
        <v>2.1461999999999999E-9</v>
      </c>
      <c r="H23" s="6">
        <f>'Plan17 (3)'!$G32</f>
        <v>2.6514000000000002E-9</v>
      </c>
      <c r="I23" s="6">
        <f>'Plan18 (3)'!$G32</f>
        <v>2.9818000000000002E-9</v>
      </c>
      <c r="J23" s="6">
        <f>'Plan19 (3)'!$G32</f>
        <v>2.005E-9</v>
      </c>
      <c r="K23" s="6">
        <f>'Plan20 (3)'!$G32</f>
        <v>1.9123000000000001E-9</v>
      </c>
      <c r="L23" s="7">
        <f t="shared" si="2"/>
        <v>2.4052699999999999E-9</v>
      </c>
      <c r="M23" s="6">
        <f t="shared" si="0"/>
        <v>2.159755514738809E-9</v>
      </c>
      <c r="N23" s="6">
        <f t="shared" si="1"/>
        <v>2.6507844852611908E-9</v>
      </c>
      <c r="O23" s="6">
        <f t="shared" si="3"/>
        <v>2.4551448526119069E-10</v>
      </c>
    </row>
    <row r="24" spans="1:15" x14ac:dyDescent="0.25">
      <c r="A24" s="9">
        <v>23</v>
      </c>
      <c r="B24" s="6">
        <f>'Plan11 (3)'!$G33</f>
        <v>2.3159999999999999E-9</v>
      </c>
      <c r="C24" s="6">
        <f>'Plan12 (3)'!$G33</f>
        <v>2.6691999999999998E-9</v>
      </c>
      <c r="D24" s="6">
        <f>'Plan13 (3)'!$G33</f>
        <v>2.2956999999999998E-9</v>
      </c>
      <c r="E24" s="6">
        <f>'Plan14 (3)'!$G33</f>
        <v>2.5359999999999999E-9</v>
      </c>
      <c r="F24" s="6">
        <f>'Plan15 (3)'!$G33</f>
        <v>2.0251E-9</v>
      </c>
      <c r="G24" s="6">
        <f>'Plan16 (3)'!$G33</f>
        <v>2.0411999999999999E-9</v>
      </c>
      <c r="H24" s="6">
        <f>'Plan17 (3)'!$G33</f>
        <v>2.5399999999999999E-9</v>
      </c>
      <c r="I24" s="6">
        <f>'Plan18 (3)'!$G33</f>
        <v>2.8595999999999999E-9</v>
      </c>
      <c r="J24" s="6">
        <f>'Plan19 (3)'!$G33</f>
        <v>1.9553000000000001E-9</v>
      </c>
      <c r="K24" s="6">
        <f>'Plan20 (3)'!$G33</f>
        <v>1.7521E-9</v>
      </c>
      <c r="L24" s="7">
        <f t="shared" si="2"/>
        <v>2.2990199999999998E-9</v>
      </c>
      <c r="M24" s="6">
        <f t="shared" si="0"/>
        <v>2.0461501720311483E-9</v>
      </c>
      <c r="N24" s="6">
        <f t="shared" si="1"/>
        <v>2.5518898279688512E-9</v>
      </c>
      <c r="O24" s="6">
        <f t="shared" si="3"/>
        <v>2.5286982796885154E-10</v>
      </c>
    </row>
    <row r="25" spans="1:15" x14ac:dyDescent="0.25">
      <c r="A25" s="9">
        <v>24</v>
      </c>
      <c r="B25" s="6">
        <f>'Plan11 (3)'!$G34</f>
        <v>2.3098E-9</v>
      </c>
      <c r="C25" s="6">
        <f>'Plan12 (3)'!$G34</f>
        <v>2.6242000000000001E-9</v>
      </c>
      <c r="D25" s="6">
        <f>'Plan13 (3)'!$G34</f>
        <v>2.2301E-9</v>
      </c>
      <c r="E25" s="6">
        <f>'Plan14 (3)'!$G34</f>
        <v>2.5181999999999998E-9</v>
      </c>
      <c r="F25" s="6">
        <f>'Plan15 (3)'!$G34</f>
        <v>2.0028000000000002E-9</v>
      </c>
      <c r="G25" s="6">
        <f>'Plan16 (3)'!$G34</f>
        <v>2.0111999999999998E-9</v>
      </c>
      <c r="H25" s="6">
        <f>'Plan17 (3)'!$G34</f>
        <v>2.5090999999999999E-9</v>
      </c>
      <c r="I25" s="6">
        <f>'Plan18 (3)'!$G34</f>
        <v>2.7908999999999999E-9</v>
      </c>
      <c r="J25" s="6">
        <f>'Plan19 (3)'!$G34</f>
        <v>1.9606E-9</v>
      </c>
      <c r="K25" s="6">
        <f>'Plan20 (3)'!$G34</f>
        <v>1.7609E-9</v>
      </c>
      <c r="L25" s="7">
        <f t="shared" si="2"/>
        <v>2.2717800000000002E-9</v>
      </c>
      <c r="M25" s="6">
        <f t="shared" si="0"/>
        <v>2.031901805913023E-9</v>
      </c>
      <c r="N25" s="6">
        <f t="shared" si="1"/>
        <v>2.5116581940869774E-9</v>
      </c>
      <c r="O25" s="6">
        <f t="shared" si="3"/>
        <v>2.398781940869773E-10</v>
      </c>
    </row>
    <row r="26" spans="1:15" x14ac:dyDescent="0.25">
      <c r="A26" s="9">
        <v>25</v>
      </c>
      <c r="B26" s="6">
        <f>'Plan11 (3)'!$G35</f>
        <v>2.4071000000000001E-9</v>
      </c>
      <c r="C26" s="6">
        <f>'Plan12 (3)'!$G35</f>
        <v>2.5897999999999999E-9</v>
      </c>
      <c r="D26" s="6">
        <f>'Plan13 (3)'!$G35</f>
        <v>2.2630000000000001E-9</v>
      </c>
      <c r="E26" s="6">
        <f>'Plan14 (3)'!$G35</f>
        <v>2.5032999999999998E-9</v>
      </c>
      <c r="F26" s="6">
        <f>'Plan15 (3)'!$G35</f>
        <v>2.0449999999999999E-9</v>
      </c>
      <c r="G26" s="6">
        <f>'Plan16 (3)'!$G35</f>
        <v>2.0345E-9</v>
      </c>
      <c r="H26" s="6">
        <f>'Plan17 (3)'!$G35</f>
        <v>2.3806999999999999E-9</v>
      </c>
      <c r="I26" s="6">
        <f>'Plan18 (3)'!$G35</f>
        <v>2.7768000000000002E-9</v>
      </c>
      <c r="J26" s="6">
        <f>'Plan19 (3)'!$G35</f>
        <v>1.9448000000000001E-9</v>
      </c>
      <c r="K26" s="6">
        <f>'Plan20 (3)'!$G35</f>
        <v>1.8510999999999999E-9</v>
      </c>
      <c r="L26" s="7">
        <f t="shared" si="2"/>
        <v>2.2796100000000002E-9</v>
      </c>
      <c r="M26" s="6">
        <f t="shared" si="0"/>
        <v>2.0622334170955047E-9</v>
      </c>
      <c r="N26" s="6">
        <f t="shared" si="1"/>
        <v>2.4969865829044956E-9</v>
      </c>
      <c r="O26" s="6">
        <f t="shared" si="3"/>
        <v>2.1737658290449549E-10</v>
      </c>
    </row>
    <row r="27" spans="1:15" x14ac:dyDescent="0.25">
      <c r="A27" s="9">
        <v>26</v>
      </c>
      <c r="B27" s="6">
        <f>'Plan11 (3)'!$G36</f>
        <v>2.3390999999999999E-9</v>
      </c>
      <c r="C27" s="6">
        <f>'Plan12 (3)'!$G36</f>
        <v>2.5801999999999998E-9</v>
      </c>
      <c r="D27" s="6">
        <f>'Plan13 (3)'!$G36</f>
        <v>2.2025999999999998E-9</v>
      </c>
      <c r="E27" s="6">
        <f>'Plan14 (3)'!$G36</f>
        <v>2.3845999999999998E-9</v>
      </c>
      <c r="F27" s="6">
        <f>'Plan15 (3)'!$G36</f>
        <v>1.9499000000000001E-9</v>
      </c>
      <c r="G27" s="6">
        <f>'Plan16 (3)'!$G36</f>
        <v>1.9517999999999998E-9</v>
      </c>
      <c r="H27" s="6">
        <f>'Plan17 (3)'!$G36</f>
        <v>2.2814E-9</v>
      </c>
      <c r="I27" s="6">
        <f>'Plan18 (3)'!$G36</f>
        <v>2.6970000000000001E-9</v>
      </c>
      <c r="J27" s="6">
        <f>'Plan19 (3)'!$G36</f>
        <v>1.9165000000000002E-9</v>
      </c>
      <c r="K27" s="6">
        <f>'Plan20 (3)'!$G36</f>
        <v>1.7255000000000001E-9</v>
      </c>
      <c r="L27" s="7">
        <f t="shared" si="2"/>
        <v>2.2028600000000004E-9</v>
      </c>
      <c r="M27" s="6">
        <f t="shared" si="0"/>
        <v>1.9790177123256307E-9</v>
      </c>
      <c r="N27" s="6">
        <f t="shared" si="1"/>
        <v>2.4267022876743701E-9</v>
      </c>
      <c r="O27" s="6">
        <f t="shared" si="3"/>
        <v>2.2384228767436973E-10</v>
      </c>
    </row>
    <row r="28" spans="1:15" x14ac:dyDescent="0.25">
      <c r="A28" s="9">
        <v>27</v>
      </c>
      <c r="B28" s="6">
        <f>'Plan11 (3)'!$G37</f>
        <v>2.2775E-9</v>
      </c>
      <c r="C28" s="6">
        <f>'Plan12 (3)'!$G37</f>
        <v>2.5048999999999999E-9</v>
      </c>
      <c r="D28" s="6">
        <f>'Plan13 (3)'!$G37</f>
        <v>2.1182E-9</v>
      </c>
      <c r="E28" s="6">
        <f>'Plan14 (3)'!$G37</f>
        <v>2.2766000000000002E-9</v>
      </c>
      <c r="F28" s="6">
        <f>'Plan15 (3)'!$G37</f>
        <v>1.9206000000000002E-9</v>
      </c>
      <c r="G28" s="6">
        <f>'Plan16 (3)'!$G37</f>
        <v>1.8984E-9</v>
      </c>
      <c r="H28" s="6">
        <f>'Plan17 (3)'!$G37</f>
        <v>2.2071E-9</v>
      </c>
      <c r="I28" s="6">
        <f>'Plan18 (3)'!$G37</f>
        <v>2.5698E-9</v>
      </c>
      <c r="J28" s="6">
        <f>'Plan19 (3)'!$G37</f>
        <v>1.8494E-9</v>
      </c>
      <c r="K28" s="6">
        <f>'Plan20 (3)'!$G37</f>
        <v>1.6257999999999999E-9</v>
      </c>
      <c r="L28" s="7">
        <f t="shared" si="2"/>
        <v>2.1248300000000004E-9</v>
      </c>
      <c r="M28" s="6">
        <f t="shared" si="0"/>
        <v>1.9097625280717441E-9</v>
      </c>
      <c r="N28" s="6">
        <f t="shared" si="1"/>
        <v>2.3398974719282567E-9</v>
      </c>
      <c r="O28" s="6">
        <f t="shared" si="3"/>
        <v>2.1506747192825622E-10</v>
      </c>
    </row>
    <row r="29" spans="1:15" x14ac:dyDescent="0.25">
      <c r="A29" s="9">
        <v>28</v>
      </c>
      <c r="B29" s="6">
        <f>'Plan11 (3)'!$G38</f>
        <v>2.3428999999999998E-9</v>
      </c>
      <c r="C29" s="6">
        <f>'Plan12 (3)'!$G38</f>
        <v>2.4920000000000001E-9</v>
      </c>
      <c r="D29" s="6">
        <f>'Plan13 (3)'!$G38</f>
        <v>2.0946999999999998E-9</v>
      </c>
      <c r="E29" s="6">
        <f>'Plan14 (3)'!$G38</f>
        <v>2.2391999999999999E-9</v>
      </c>
      <c r="F29" s="6">
        <f>'Plan15 (3)'!$G38</f>
        <v>2.0003999999999998E-9</v>
      </c>
      <c r="G29" s="6">
        <f>'Plan16 (3)'!$G38</f>
        <v>1.904E-9</v>
      </c>
      <c r="H29" s="6">
        <f>'Plan17 (3)'!$G38</f>
        <v>2.1391000000000002E-9</v>
      </c>
      <c r="I29" s="6">
        <f>'Plan18 (3)'!$G38</f>
        <v>2.5396000000000002E-9</v>
      </c>
      <c r="J29" s="6">
        <f>'Plan19 (3)'!$G38</f>
        <v>1.8280000000000001E-9</v>
      </c>
      <c r="K29" s="6">
        <f>'Plan20 (3)'!$G38</f>
        <v>1.6889E-9</v>
      </c>
      <c r="L29" s="7">
        <f t="shared" si="2"/>
        <v>2.1268800000000004E-9</v>
      </c>
      <c r="M29" s="6">
        <f t="shared" si="0"/>
        <v>1.9258229724392912E-9</v>
      </c>
      <c r="N29" s="6">
        <f t="shared" si="1"/>
        <v>2.3279370275607097E-9</v>
      </c>
      <c r="O29" s="6">
        <f t="shared" si="3"/>
        <v>2.0105702756070918E-10</v>
      </c>
    </row>
    <row r="30" spans="1:15" x14ac:dyDescent="0.25">
      <c r="A30" s="9">
        <v>29</v>
      </c>
      <c r="B30" s="6">
        <f>'Plan11 (3)'!$G39</f>
        <v>2.3458999999999999E-9</v>
      </c>
      <c r="C30" s="6">
        <f>'Plan12 (3)'!$G39</f>
        <v>2.4798000000000001E-9</v>
      </c>
      <c r="D30" s="6">
        <f>'Plan13 (3)'!$G39</f>
        <v>2.0822000000000001E-9</v>
      </c>
      <c r="E30" s="6">
        <f>'Plan14 (3)'!$G39</f>
        <v>2.1647000000000002E-9</v>
      </c>
      <c r="F30" s="6">
        <f>'Plan15 (3)'!$G39</f>
        <v>1.9138000000000002E-9</v>
      </c>
      <c r="G30" s="6">
        <f>'Plan16 (3)'!$G39</f>
        <v>1.8973000000000001E-9</v>
      </c>
      <c r="H30" s="6">
        <f>'Plan17 (3)'!$G39</f>
        <v>2.0441E-9</v>
      </c>
      <c r="I30" s="6">
        <f>'Plan18 (3)'!$G39</f>
        <v>2.4922000000000001E-9</v>
      </c>
      <c r="J30" s="6">
        <f>'Plan19 (3)'!$G39</f>
        <v>1.7797E-9</v>
      </c>
      <c r="K30" s="6">
        <f>'Plan20 (3)'!$G39</f>
        <v>1.6392000000000001E-9</v>
      </c>
      <c r="L30" s="7">
        <f t="shared" si="2"/>
        <v>2.0838899999999999E-9</v>
      </c>
      <c r="M30" s="6">
        <f t="shared" si="0"/>
        <v>1.8767993485674383E-9</v>
      </c>
      <c r="N30" s="6">
        <f t="shared" si="1"/>
        <v>2.2909806514325615E-9</v>
      </c>
      <c r="O30" s="6">
        <f t="shared" si="3"/>
        <v>2.0709065143256156E-10</v>
      </c>
    </row>
    <row r="31" spans="1:15" x14ac:dyDescent="0.25">
      <c r="A31" s="10">
        <v>30</v>
      </c>
      <c r="B31" s="6">
        <f>'Plan11 (3)'!$G40</f>
        <v>2.2761E-9</v>
      </c>
      <c r="C31" s="6">
        <f>'Plan12 (3)'!$G40</f>
        <v>2.4428999999999999E-9</v>
      </c>
      <c r="D31" s="6">
        <f>'Plan13 (3)'!$G40</f>
        <v>2.0086999999999999E-9</v>
      </c>
      <c r="E31" s="6">
        <f>'Plan14 (3)'!$G40</f>
        <v>2.071E-9</v>
      </c>
      <c r="F31" s="6">
        <f>'Plan15 (3)'!$G40</f>
        <v>1.8609000000000001E-9</v>
      </c>
      <c r="G31" s="6">
        <f>'Plan16 (3)'!$G40</f>
        <v>1.8293000000000001E-9</v>
      </c>
      <c r="H31" s="6">
        <f>'Plan17 (3)'!$G40</f>
        <v>1.9771000000000001E-9</v>
      </c>
      <c r="I31" s="6">
        <f>'Plan18 (3)'!$G40</f>
        <v>2.3704E-9</v>
      </c>
      <c r="J31" s="6">
        <f>'Plan19 (3)'!$G40</f>
        <v>1.7201000000000001E-9</v>
      </c>
      <c r="K31" s="6">
        <f>'Plan20 (3)'!$G40</f>
        <v>1.5287999999999999E-9</v>
      </c>
      <c r="L31" s="7">
        <f t="shared" si="2"/>
        <v>2.0085299999999999E-9</v>
      </c>
      <c r="M31" s="6">
        <f t="shared" si="0"/>
        <v>1.8001928139752494E-9</v>
      </c>
      <c r="N31" s="6">
        <f t="shared" si="1"/>
        <v>2.2168671860247504E-9</v>
      </c>
      <c r="O31" s="6">
        <f t="shared" si="3"/>
        <v>2.083371860247505E-10</v>
      </c>
    </row>
    <row r="32" spans="1:15" x14ac:dyDescent="0.25">
      <c r="A32" s="9">
        <v>31</v>
      </c>
      <c r="B32" s="6">
        <f>'Plan11 (3)'!$G41</f>
        <v>2.2820000000000002E-9</v>
      </c>
      <c r="C32" s="6">
        <f>'Plan12 (3)'!$G41</f>
        <v>2.4434000000000001E-9</v>
      </c>
      <c r="D32" s="6">
        <f>'Plan13 (3)'!$G41</f>
        <v>1.9571000000000002E-9</v>
      </c>
      <c r="E32" s="6">
        <f>'Plan14 (3)'!$G41</f>
        <v>2.0299999999999998E-9</v>
      </c>
      <c r="F32" s="6">
        <f>'Plan15 (3)'!$G41</f>
        <v>1.8979999999999999E-9</v>
      </c>
      <c r="G32" s="6">
        <f>'Plan16 (3)'!$G41</f>
        <v>1.8301999999999999E-9</v>
      </c>
      <c r="H32" s="6">
        <f>'Plan17 (3)'!$G41</f>
        <v>1.9502000000000002E-9</v>
      </c>
      <c r="I32" s="6">
        <f>'Plan18 (3)'!$G41</f>
        <v>2.3123E-9</v>
      </c>
      <c r="J32" s="6">
        <f>'Plan19 (3)'!$G41</f>
        <v>1.7299E-9</v>
      </c>
      <c r="K32" s="6">
        <f>'Plan20 (3)'!$G41</f>
        <v>1.5629000000000001E-9</v>
      </c>
      <c r="L32" s="7">
        <f t="shared" si="2"/>
        <v>1.9996E-9</v>
      </c>
      <c r="M32" s="6">
        <f t="shared" si="0"/>
        <v>1.8026603166022004E-9</v>
      </c>
      <c r="N32" s="6">
        <f t="shared" si="1"/>
        <v>2.1965396833977996E-9</v>
      </c>
      <c r="O32" s="6">
        <f t="shared" si="3"/>
        <v>1.9693968339779958E-10</v>
      </c>
    </row>
    <row r="33" spans="1:15" x14ac:dyDescent="0.25">
      <c r="A33" s="9">
        <v>32</v>
      </c>
      <c r="B33" s="6">
        <f>'Plan11 (3)'!$G42</f>
        <v>2.3198000000000002E-9</v>
      </c>
      <c r="C33" s="6">
        <f>'Plan12 (3)'!$G42</f>
        <v>2.4479000000000002E-9</v>
      </c>
      <c r="D33" s="6">
        <f>'Plan13 (3)'!$G42</f>
        <v>1.9554000000000001E-9</v>
      </c>
      <c r="E33" s="6">
        <f>'Plan14 (3)'!$G42</f>
        <v>1.9948000000000002E-9</v>
      </c>
      <c r="F33" s="6">
        <f>'Plan15 (3)'!$G42</f>
        <v>1.8766999999999999E-9</v>
      </c>
      <c r="G33" s="6">
        <f>'Plan16 (3)'!$G42</f>
        <v>1.8559E-9</v>
      </c>
      <c r="H33" s="6">
        <f>'Plan17 (3)'!$G42</f>
        <v>1.8708999999999998E-9</v>
      </c>
      <c r="I33" s="6">
        <f>'Plan18 (3)'!$G42</f>
        <v>2.2705E-9</v>
      </c>
      <c r="J33" s="6">
        <f>'Plan19 (3)'!$G42</f>
        <v>1.7094999999999999E-9</v>
      </c>
      <c r="K33" s="6">
        <f>'Plan20 (3)'!$G42</f>
        <v>1.5725999999999999E-9</v>
      </c>
      <c r="L33" s="7">
        <f t="shared" si="2"/>
        <v>1.9873999999999996E-9</v>
      </c>
      <c r="M33" s="6">
        <f t="shared" si="0"/>
        <v>1.7884414777883184E-9</v>
      </c>
      <c r="N33" s="6">
        <f t="shared" si="1"/>
        <v>2.1863585222116807E-9</v>
      </c>
      <c r="O33" s="6">
        <f t="shared" si="3"/>
        <v>1.9895852221168117E-10</v>
      </c>
    </row>
    <row r="34" spans="1:15" x14ac:dyDescent="0.25">
      <c r="A34" s="9">
        <v>33</v>
      </c>
      <c r="B34" s="6">
        <f>'Plan11 (3)'!$G43</f>
        <v>2.2465E-9</v>
      </c>
      <c r="C34" s="6">
        <f>'Plan12 (3)'!$G43</f>
        <v>2.4462000000000001E-9</v>
      </c>
      <c r="D34" s="6">
        <f>'Plan13 (3)'!$G43</f>
        <v>1.8735000000000002E-9</v>
      </c>
      <c r="E34" s="6">
        <f>'Plan14 (3)'!$G43</f>
        <v>1.8881000000000001E-9</v>
      </c>
      <c r="F34" s="6">
        <f>'Plan15 (3)'!$G43</f>
        <v>1.8111000000000001E-9</v>
      </c>
      <c r="G34" s="6">
        <f>'Plan16 (3)'!$G43</f>
        <v>1.8222E-9</v>
      </c>
      <c r="H34" s="6">
        <f>'Plan17 (3)'!$G43</f>
        <v>1.8168E-9</v>
      </c>
      <c r="I34" s="6">
        <f>'Plan18 (3)'!$G43</f>
        <v>2.2038999999999998E-9</v>
      </c>
      <c r="J34" s="6">
        <f>'Plan19 (3)'!$G43</f>
        <v>1.6904000000000001E-9</v>
      </c>
      <c r="K34" s="6">
        <f>'Plan20 (3)'!$G43</f>
        <v>1.5165000000000001E-9</v>
      </c>
      <c r="L34" s="7">
        <f t="shared" si="2"/>
        <v>1.93152E-9</v>
      </c>
      <c r="M34" s="6">
        <f t="shared" si="0"/>
        <v>1.7300957743418607E-9</v>
      </c>
      <c r="N34" s="6">
        <f t="shared" si="1"/>
        <v>2.1329442256581392E-9</v>
      </c>
      <c r="O34" s="6">
        <f t="shared" si="3"/>
        <v>2.0142422565813929E-10</v>
      </c>
    </row>
    <row r="35" spans="1:15" x14ac:dyDescent="0.25">
      <c r="A35" s="9">
        <v>34</v>
      </c>
      <c r="B35" s="6">
        <f>'Plan11 (3)'!$G44</f>
        <v>2.2404999999999999E-9</v>
      </c>
      <c r="C35" s="6">
        <f>'Plan12 (3)'!$G44</f>
        <v>2.4286000000000001E-9</v>
      </c>
      <c r="D35" s="6">
        <f>'Plan13 (3)'!$G44</f>
        <v>1.8233999999999999E-9</v>
      </c>
      <c r="E35" s="6">
        <f>'Plan14 (3)'!$G44</f>
        <v>1.8808E-9</v>
      </c>
      <c r="F35" s="6">
        <f>'Plan15 (3)'!$G44</f>
        <v>1.8104999999999999E-9</v>
      </c>
      <c r="G35" s="6">
        <f>'Plan16 (3)'!$G44</f>
        <v>1.8114E-9</v>
      </c>
      <c r="H35" s="6">
        <f>'Plan17 (3)'!$G44</f>
        <v>1.7882000000000001E-9</v>
      </c>
      <c r="I35" s="6">
        <f>'Plan18 (3)'!$G44</f>
        <v>2.1380999999999999E-9</v>
      </c>
      <c r="J35" s="6">
        <f>'Plan19 (3)'!$G44</f>
        <v>1.6885999999999999E-9</v>
      </c>
      <c r="K35" s="6">
        <f>'Plan20 (3)'!$G44</f>
        <v>1.5037999999999999E-9</v>
      </c>
      <c r="L35" s="7">
        <f t="shared" si="2"/>
        <v>1.9113900000000004E-9</v>
      </c>
      <c r="M35" s="6">
        <f t="shared" si="0"/>
        <v>1.7137459000304921E-9</v>
      </c>
      <c r="N35" s="6">
        <f t="shared" si="1"/>
        <v>2.1090340999695086E-9</v>
      </c>
      <c r="O35" s="6">
        <f t="shared" si="3"/>
        <v>1.976440999695083E-10</v>
      </c>
    </row>
    <row r="36" spans="1:15" x14ac:dyDescent="0.25">
      <c r="A36" s="9">
        <v>35</v>
      </c>
      <c r="B36" s="6">
        <f>'Plan11 (3)'!$G45</f>
        <v>2.2777000000000001E-9</v>
      </c>
      <c r="C36" s="6">
        <f>'Plan12 (3)'!$G45</f>
        <v>2.4196999999999998E-9</v>
      </c>
      <c r="D36" s="6">
        <f>'Plan13 (3)'!$G45</f>
        <v>1.8016000000000001E-9</v>
      </c>
      <c r="E36" s="6">
        <f>'Plan14 (3)'!$G45</f>
        <v>1.8820999999999999E-9</v>
      </c>
      <c r="F36" s="6">
        <f>'Plan15 (3)'!$G45</f>
        <v>1.8381999999999999E-9</v>
      </c>
      <c r="G36" s="6">
        <f>'Plan16 (3)'!$G45</f>
        <v>1.8435000000000001E-9</v>
      </c>
      <c r="H36" s="6">
        <f>'Plan17 (3)'!$G45</f>
        <v>1.7201000000000001E-9</v>
      </c>
      <c r="I36" s="6">
        <f>'Plan18 (3)'!$G45</f>
        <v>2.1267000000000001E-9</v>
      </c>
      <c r="J36" s="6">
        <f>'Plan19 (3)'!$G45</f>
        <v>1.6761E-9</v>
      </c>
      <c r="K36" s="6">
        <f>'Plan20 (3)'!$G45</f>
        <v>1.5491E-9</v>
      </c>
      <c r="L36" s="7">
        <f t="shared" si="2"/>
        <v>1.9134800000000003E-9</v>
      </c>
      <c r="M36" s="6">
        <f t="shared" si="0"/>
        <v>1.7161311274378341E-9</v>
      </c>
      <c r="N36" s="6">
        <f t="shared" si="1"/>
        <v>2.1108288725621667E-9</v>
      </c>
      <c r="O36" s="6">
        <f t="shared" si="3"/>
        <v>1.9734887256216618E-10</v>
      </c>
    </row>
    <row r="37" spans="1:15" x14ac:dyDescent="0.25">
      <c r="A37" s="9">
        <v>36</v>
      </c>
      <c r="B37" s="6">
        <f>'Plan11 (3)'!$G46</f>
        <v>2.2557E-9</v>
      </c>
      <c r="C37" s="6">
        <f>'Plan12 (3)'!$G46</f>
        <v>2.4294999999999999E-9</v>
      </c>
      <c r="D37" s="6">
        <f>'Plan13 (3)'!$G46</f>
        <v>1.7511000000000001E-9</v>
      </c>
      <c r="E37" s="6">
        <f>'Plan14 (3)'!$G46</f>
        <v>1.8063000000000001E-9</v>
      </c>
      <c r="F37" s="6">
        <f>'Plan15 (3)'!$G46</f>
        <v>1.7895999999999999E-9</v>
      </c>
      <c r="G37" s="6">
        <f>'Plan16 (3)'!$G46</f>
        <v>1.8478E-9</v>
      </c>
      <c r="H37" s="6">
        <f>'Plan17 (3)'!$G46</f>
        <v>1.6675000000000001E-9</v>
      </c>
      <c r="I37" s="6">
        <f>'Plan18 (3)'!$G46</f>
        <v>2.1076E-9</v>
      </c>
      <c r="J37" s="6">
        <f>'Plan19 (3)'!$G46</f>
        <v>1.6511E-9</v>
      </c>
      <c r="K37" s="6">
        <f>'Plan20 (3)'!$G46</f>
        <v>1.5386E-9</v>
      </c>
      <c r="L37" s="7">
        <f t="shared" si="2"/>
        <v>1.8844800000000001E-9</v>
      </c>
      <c r="M37" s="6">
        <f t="shared" si="0"/>
        <v>1.6793468262218299E-9</v>
      </c>
      <c r="N37" s="6">
        <f t="shared" si="1"/>
        <v>2.0896131737781702E-9</v>
      </c>
      <c r="O37" s="6">
        <f t="shared" si="3"/>
        <v>2.0513317377817022E-10</v>
      </c>
    </row>
    <row r="38" spans="1:15" x14ac:dyDescent="0.25">
      <c r="A38" s="9">
        <v>37</v>
      </c>
      <c r="B38" s="6">
        <f>'Plan11 (3)'!$G47</f>
        <v>2.2368E-9</v>
      </c>
      <c r="C38" s="6">
        <f>'Plan12 (3)'!$G47</f>
        <v>2.4015E-9</v>
      </c>
      <c r="D38" s="6">
        <f>'Plan13 (3)'!$G47</f>
        <v>1.7022E-9</v>
      </c>
      <c r="E38" s="6">
        <f>'Plan14 (3)'!$G47</f>
        <v>1.7724E-9</v>
      </c>
      <c r="F38" s="6">
        <f>'Plan15 (3)'!$G47</f>
        <v>1.794E-9</v>
      </c>
      <c r="G38" s="6">
        <f>'Plan16 (3)'!$G47</f>
        <v>1.8277E-9</v>
      </c>
      <c r="H38" s="6">
        <f>'Plan17 (3)'!$G47</f>
        <v>1.6307E-9</v>
      </c>
      <c r="I38" s="6">
        <f>'Plan18 (3)'!$G47</f>
        <v>2.0497000000000001E-9</v>
      </c>
      <c r="J38" s="6">
        <f>'Plan19 (3)'!$G47</f>
        <v>1.6482E-9</v>
      </c>
      <c r="K38" s="6">
        <f>'Plan20 (3)'!$G47</f>
        <v>1.5162E-9</v>
      </c>
      <c r="L38" s="7">
        <f t="shared" si="2"/>
        <v>1.8579399999999999E-9</v>
      </c>
      <c r="M38" s="6">
        <f t="shared" si="0"/>
        <v>1.6549396012381398E-9</v>
      </c>
      <c r="N38" s="6">
        <f t="shared" si="1"/>
        <v>2.0609403987618602E-9</v>
      </c>
      <c r="O38" s="6">
        <f t="shared" si="3"/>
        <v>2.0300039876186016E-10</v>
      </c>
    </row>
    <row r="39" spans="1:15" x14ac:dyDescent="0.25">
      <c r="A39" s="9">
        <v>38</v>
      </c>
      <c r="B39" s="6">
        <f>'Plan11 (3)'!$G48</f>
        <v>2.2563000000000002E-9</v>
      </c>
      <c r="C39" s="6">
        <f>'Plan12 (3)'!$G48</f>
        <v>2.4045000000000001E-9</v>
      </c>
      <c r="D39" s="6">
        <f>'Plan13 (3)'!$G48</f>
        <v>1.6674000000000001E-9</v>
      </c>
      <c r="E39" s="6">
        <f>'Plan14 (3)'!$G48</f>
        <v>1.8047E-9</v>
      </c>
      <c r="F39" s="6">
        <f>'Plan15 (3)'!$G48</f>
        <v>1.8338E-9</v>
      </c>
      <c r="G39" s="6">
        <f>'Plan16 (3)'!$G48</f>
        <v>1.8409999999999999E-9</v>
      </c>
      <c r="H39" s="6">
        <f>'Plan17 (3)'!$G48</f>
        <v>1.5856E-9</v>
      </c>
      <c r="I39" s="6">
        <f>'Plan18 (3)'!$G48</f>
        <v>2.0267E-9</v>
      </c>
      <c r="J39" s="6">
        <f>'Plan19 (3)'!$G48</f>
        <v>1.6372999999999999E-9</v>
      </c>
      <c r="K39" s="6">
        <f>'Plan20 (3)'!$G48</f>
        <v>1.5617000000000001E-9</v>
      </c>
      <c r="L39" s="7">
        <f t="shared" si="2"/>
        <v>1.8619E-9</v>
      </c>
      <c r="M39" s="6">
        <f t="shared" si="0"/>
        <v>1.6572806130880513E-9</v>
      </c>
      <c r="N39" s="6">
        <f t="shared" si="1"/>
        <v>2.0665193869119486E-9</v>
      </c>
      <c r="O39" s="6">
        <f t="shared" si="3"/>
        <v>2.0461938691194869E-10</v>
      </c>
    </row>
    <row r="40" spans="1:15" x14ac:dyDescent="0.25">
      <c r="A40" s="9">
        <v>39</v>
      </c>
      <c r="B40" s="6">
        <f>'Plan11 (3)'!$G49</f>
        <v>2.2599E-9</v>
      </c>
      <c r="C40" s="6">
        <f>'Plan12 (3)'!$G49</f>
        <v>2.4145999999999999E-9</v>
      </c>
      <c r="D40" s="6">
        <f>'Plan13 (3)'!$G49</f>
        <v>1.6419999999999999E-9</v>
      </c>
      <c r="E40" s="6">
        <f>'Plan14 (3)'!$G49</f>
        <v>1.7821999999999999E-9</v>
      </c>
      <c r="F40" s="6">
        <f>'Plan15 (3)'!$G49</f>
        <v>1.8053E-9</v>
      </c>
      <c r="G40" s="6">
        <f>'Plan16 (3)'!$G49</f>
        <v>1.8555000000000001E-9</v>
      </c>
      <c r="H40" s="6">
        <f>'Plan17 (3)'!$G49</f>
        <v>1.5557999999999999E-9</v>
      </c>
      <c r="I40" s="6">
        <f>'Plan18 (3)'!$G49</f>
        <v>2.0089E-9</v>
      </c>
      <c r="J40" s="6">
        <f>'Plan19 (3)'!$G49</f>
        <v>1.6182000000000001E-9</v>
      </c>
      <c r="K40" s="6">
        <f>'Plan20 (3)'!$G49</f>
        <v>1.5556999999999999E-9</v>
      </c>
      <c r="L40" s="7">
        <f t="shared" si="2"/>
        <v>1.84981E-9</v>
      </c>
      <c r="M40" s="6">
        <f t="shared" si="0"/>
        <v>1.6380264204760457E-9</v>
      </c>
      <c r="N40" s="6">
        <f t="shared" si="1"/>
        <v>2.0615935795239546E-9</v>
      </c>
      <c r="O40" s="6">
        <f t="shared" si="3"/>
        <v>2.1178357952395434E-10</v>
      </c>
    </row>
    <row r="41" spans="1:15" x14ac:dyDescent="0.25">
      <c r="A41" s="10">
        <v>40</v>
      </c>
      <c r="B41" s="6">
        <f>'Plan11 (3)'!$G50</f>
        <v>2.2176999999999999E-9</v>
      </c>
      <c r="C41" s="6">
        <f>'Plan12 (3)'!$G50</f>
        <v>2.4016000000000001E-9</v>
      </c>
      <c r="D41" s="6">
        <f>'Plan13 (3)'!$G50</f>
        <v>1.5734E-9</v>
      </c>
      <c r="E41" s="6">
        <f>'Plan14 (3)'!$G50</f>
        <v>1.7502E-9</v>
      </c>
      <c r="F41" s="6">
        <f>'Plan15 (3)'!$G50</f>
        <v>1.8044000000000001E-9</v>
      </c>
      <c r="G41" s="6">
        <f>'Plan16 (3)'!$G50</f>
        <v>1.8523999999999999E-9</v>
      </c>
      <c r="H41" s="6">
        <f>'Plan17 (3)'!$G50</f>
        <v>1.5508000000000001E-9</v>
      </c>
      <c r="I41" s="6">
        <f>'Plan18 (3)'!$G50</f>
        <v>1.9587999999999999E-9</v>
      </c>
      <c r="J41" s="6">
        <f>'Plan19 (3)'!$G50</f>
        <v>1.5936E-9</v>
      </c>
      <c r="K41" s="6">
        <f>'Plan20 (3)'!$G50</f>
        <v>1.5222E-9</v>
      </c>
      <c r="L41" s="7">
        <f t="shared" si="2"/>
        <v>1.8225100000000002E-9</v>
      </c>
      <c r="M41" s="6">
        <f t="shared" si="0"/>
        <v>1.6098975180960762E-9</v>
      </c>
      <c r="N41" s="6">
        <f t="shared" si="1"/>
        <v>2.0351224819039239E-9</v>
      </c>
      <c r="O41" s="6">
        <f t="shared" si="3"/>
        <v>2.1261248190392388E-10</v>
      </c>
    </row>
    <row r="42" spans="1:15" x14ac:dyDescent="0.25">
      <c r="A42" s="9">
        <v>41</v>
      </c>
      <c r="B42" s="6">
        <f>'Plan11 (3)'!$G51</f>
        <v>2.2216999999999999E-9</v>
      </c>
      <c r="C42" s="6">
        <f>'Plan12 (3)'!$G51</f>
        <v>2.4029E-9</v>
      </c>
      <c r="D42" s="6">
        <f>'Plan13 (3)'!$G51</f>
        <v>1.5448999999999999E-9</v>
      </c>
      <c r="E42" s="6">
        <f>'Plan14 (3)'!$G51</f>
        <v>1.7808999999999999E-9</v>
      </c>
      <c r="F42" s="6">
        <f>'Plan15 (3)'!$G51</f>
        <v>1.8088E-9</v>
      </c>
      <c r="G42" s="6">
        <f>'Plan16 (3)'!$G51</f>
        <v>1.835E-9</v>
      </c>
      <c r="H42" s="6">
        <f>'Plan17 (3)'!$G51</f>
        <v>1.5327999999999999E-9</v>
      </c>
      <c r="I42" s="6">
        <f>'Plan18 (3)'!$G51</f>
        <v>1.9127999999999998E-9</v>
      </c>
      <c r="J42" s="6">
        <f>'Plan19 (3)'!$G51</f>
        <v>1.5852000000000001E-9</v>
      </c>
      <c r="K42" s="6">
        <f>'Plan20 (3)'!$G51</f>
        <v>1.533E-9</v>
      </c>
      <c r="L42" s="7">
        <f t="shared" si="2"/>
        <v>1.8158000000000003E-9</v>
      </c>
      <c r="M42" s="6">
        <f t="shared" si="0"/>
        <v>1.6015756038129259E-9</v>
      </c>
      <c r="N42" s="6">
        <f t="shared" si="1"/>
        <v>2.0300243961870747E-9</v>
      </c>
      <c r="O42" s="6">
        <f t="shared" si="3"/>
        <v>2.1422439618707451E-10</v>
      </c>
    </row>
    <row r="43" spans="1:15" x14ac:dyDescent="0.25">
      <c r="A43" s="9">
        <v>42</v>
      </c>
      <c r="B43" s="6">
        <f>'Plan11 (3)'!$G52</f>
        <v>2.2357E-9</v>
      </c>
      <c r="C43" s="6">
        <f>'Plan12 (3)'!$G52</f>
        <v>2.4035999999999998E-9</v>
      </c>
      <c r="D43" s="6">
        <f>'Plan13 (3)'!$G52</f>
        <v>1.5317E-9</v>
      </c>
      <c r="E43" s="6">
        <f>'Plan14 (3)'!$G52</f>
        <v>1.784E-9</v>
      </c>
      <c r="F43" s="6">
        <f>'Plan15 (3)'!$G52</f>
        <v>1.7968E-9</v>
      </c>
      <c r="G43" s="6">
        <f>'Plan16 (3)'!$G52</f>
        <v>1.8405E-9</v>
      </c>
      <c r="H43" s="6">
        <f>'Plan17 (3)'!$G52</f>
        <v>1.5036000000000001E-9</v>
      </c>
      <c r="I43" s="6">
        <f>'Plan18 (3)'!$G52</f>
        <v>1.8943E-9</v>
      </c>
      <c r="J43" s="6">
        <f>'Plan19 (3)'!$G52</f>
        <v>1.5641E-9</v>
      </c>
      <c r="K43" s="6">
        <f>'Plan20 (3)'!$G52</f>
        <v>1.5196E-9</v>
      </c>
      <c r="L43" s="7">
        <f t="shared" si="2"/>
        <v>1.8073899999999999E-9</v>
      </c>
      <c r="M43" s="6">
        <f t="shared" si="0"/>
        <v>1.586447358104159E-9</v>
      </c>
      <c r="N43" s="6">
        <f t="shared" si="1"/>
        <v>2.0283326418958408E-9</v>
      </c>
      <c r="O43" s="6">
        <f t="shared" si="3"/>
        <v>2.2094264189584085E-10</v>
      </c>
    </row>
    <row r="44" spans="1:15" x14ac:dyDescent="0.25">
      <c r="A44" s="9">
        <v>43</v>
      </c>
      <c r="B44" s="6">
        <f>'Plan11 (3)'!$G53</f>
        <v>2.1971000000000002E-9</v>
      </c>
      <c r="C44" s="6">
        <f>'Plan12 (3)'!$G53</f>
        <v>2.3974E-9</v>
      </c>
      <c r="D44" s="6">
        <f>'Plan13 (3)'!$G53</f>
        <v>1.4731E-9</v>
      </c>
      <c r="E44" s="6">
        <f>'Plan14 (3)'!$G53</f>
        <v>1.7754000000000001E-9</v>
      </c>
      <c r="F44" s="6">
        <f>'Plan15 (3)'!$G53</f>
        <v>1.7723E-9</v>
      </c>
      <c r="G44" s="6">
        <f>'Plan16 (3)'!$G53</f>
        <v>1.8387000000000001E-9</v>
      </c>
      <c r="H44" s="6">
        <f>'Plan17 (3)'!$G53</f>
        <v>1.5165999999999999E-9</v>
      </c>
      <c r="I44" s="6">
        <f>'Plan18 (3)'!$G53</f>
        <v>1.8725999999999999E-9</v>
      </c>
      <c r="J44" s="6">
        <f>'Plan19 (3)'!$G53</f>
        <v>1.5304E-9</v>
      </c>
      <c r="K44" s="6">
        <f>'Plan20 (3)'!$G53</f>
        <v>1.4956000000000001E-9</v>
      </c>
      <c r="L44" s="7">
        <f t="shared" si="2"/>
        <v>1.7869200000000001E-9</v>
      </c>
      <c r="M44" s="6">
        <f t="shared" si="0"/>
        <v>1.564056006304258E-9</v>
      </c>
      <c r="N44" s="6">
        <f t="shared" si="1"/>
        <v>2.0097839936957423E-9</v>
      </c>
      <c r="O44" s="6">
        <f t="shared" si="3"/>
        <v>2.2286399369574207E-10</v>
      </c>
    </row>
    <row r="45" spans="1:15" x14ac:dyDescent="0.25">
      <c r="A45" s="9">
        <v>44</v>
      </c>
      <c r="B45" s="6">
        <f>'Plan11 (3)'!$G54</f>
        <v>2.1869E-9</v>
      </c>
      <c r="C45" s="6">
        <f>'Plan12 (3)'!$G54</f>
        <v>2.3711999999999998E-9</v>
      </c>
      <c r="D45" s="6">
        <f>'Plan13 (3)'!$G54</f>
        <v>1.4554E-9</v>
      </c>
      <c r="E45" s="6">
        <f>'Plan14 (3)'!$G54</f>
        <v>1.8031999999999999E-9</v>
      </c>
      <c r="F45" s="6">
        <f>'Plan15 (3)'!$G54</f>
        <v>1.7787000000000001E-9</v>
      </c>
      <c r="G45" s="6">
        <f>'Plan16 (3)'!$G54</f>
        <v>1.8121E-9</v>
      </c>
      <c r="H45" s="6">
        <f>'Plan17 (3)'!$G54</f>
        <v>1.5138999999999999E-9</v>
      </c>
      <c r="I45" s="6">
        <f>'Plan18 (3)'!$G54</f>
        <v>1.8319000000000001E-9</v>
      </c>
      <c r="J45" s="6">
        <f>'Plan19 (3)'!$G54</f>
        <v>1.5361999999999999E-9</v>
      </c>
      <c r="K45" s="6">
        <f>'Plan20 (3)'!$G54</f>
        <v>1.4903999999999999E-9</v>
      </c>
      <c r="L45" s="7">
        <f t="shared" si="2"/>
        <v>1.77799E-9</v>
      </c>
      <c r="M45" s="6">
        <f t="shared" si="0"/>
        <v>1.5596023726703161E-9</v>
      </c>
      <c r="N45" s="6">
        <f t="shared" si="1"/>
        <v>1.996377627329684E-9</v>
      </c>
      <c r="O45" s="6">
        <f t="shared" si="3"/>
        <v>2.1838762732968386E-10</v>
      </c>
    </row>
    <row r="46" spans="1:15" x14ac:dyDescent="0.25">
      <c r="A46" s="9">
        <v>45</v>
      </c>
      <c r="B46" s="6">
        <f>'Plan11 (3)'!$G55</f>
        <v>2.1916000000000002E-9</v>
      </c>
      <c r="C46" s="6">
        <f>'Plan12 (3)'!$G55</f>
        <v>2.3638E-9</v>
      </c>
      <c r="D46" s="6">
        <f>'Plan13 (3)'!$G55</f>
        <v>1.4487E-9</v>
      </c>
      <c r="E46" s="6">
        <f>'Plan14 (3)'!$G55</f>
        <v>1.8339E-9</v>
      </c>
      <c r="F46" s="6">
        <f>'Plan15 (3)'!$G55</f>
        <v>1.8035E-9</v>
      </c>
      <c r="G46" s="6">
        <f>'Plan16 (3)'!$G55</f>
        <v>1.8104999999999999E-9</v>
      </c>
      <c r="H46" s="6">
        <f>'Plan17 (3)'!$G55</f>
        <v>1.4902000000000001E-9</v>
      </c>
      <c r="I46" s="6">
        <f>'Plan18 (3)'!$G55</f>
        <v>1.8152000000000001E-9</v>
      </c>
      <c r="J46" s="6">
        <f>'Plan19 (3)'!$G55</f>
        <v>1.5168E-9</v>
      </c>
      <c r="K46" s="6">
        <f>'Plan20 (3)'!$G55</f>
        <v>1.4945E-9</v>
      </c>
      <c r="L46" s="7">
        <f t="shared" si="2"/>
        <v>1.7768699999999999E-9</v>
      </c>
      <c r="M46" s="6">
        <f t="shared" si="0"/>
        <v>1.5557006372280062E-9</v>
      </c>
      <c r="N46" s="6">
        <f t="shared" si="1"/>
        <v>1.9980393627719934E-9</v>
      </c>
      <c r="O46" s="6">
        <f t="shared" si="3"/>
        <v>2.2116936277199363E-10</v>
      </c>
    </row>
    <row r="47" spans="1:15" x14ac:dyDescent="0.25">
      <c r="A47" s="9">
        <v>46</v>
      </c>
      <c r="B47" s="6">
        <f>'Plan11 (3)'!$G56</f>
        <v>2.1727000000000002E-9</v>
      </c>
      <c r="C47" s="6">
        <f>'Plan12 (3)'!$G56</f>
        <v>2.3574000000000002E-9</v>
      </c>
      <c r="D47" s="6">
        <f>'Plan13 (3)'!$G56</f>
        <v>1.4211E-9</v>
      </c>
      <c r="E47" s="6">
        <f>'Plan14 (3)'!$G56</f>
        <v>1.8110000000000001E-9</v>
      </c>
      <c r="F47" s="6">
        <f>'Plan15 (3)'!$G56</f>
        <v>1.7794000000000001E-9</v>
      </c>
      <c r="G47" s="6">
        <f>'Plan16 (3)'!$G56</f>
        <v>1.8145000000000001E-9</v>
      </c>
      <c r="H47" s="6">
        <f>'Plan17 (3)'!$G56</f>
        <v>1.5038999999999999E-9</v>
      </c>
      <c r="I47" s="6">
        <f>'Plan18 (3)'!$G56</f>
        <v>1.8075E-9</v>
      </c>
      <c r="J47" s="6">
        <f>'Plan19 (3)'!$G56</f>
        <v>1.5017000000000001E-9</v>
      </c>
      <c r="K47" s="6">
        <f>'Plan20 (3)'!$G56</f>
        <v>1.4746000000000001E-9</v>
      </c>
      <c r="L47" s="7">
        <f t="shared" si="2"/>
        <v>1.7643800000000001E-9</v>
      </c>
      <c r="M47" s="6">
        <f t="shared" si="0"/>
        <v>1.5427562504582368E-9</v>
      </c>
      <c r="N47" s="6">
        <f t="shared" si="1"/>
        <v>1.9860037495417634E-9</v>
      </c>
      <c r="O47" s="6">
        <f t="shared" si="3"/>
        <v>2.216237495417633E-10</v>
      </c>
    </row>
    <row r="48" spans="1:15" x14ac:dyDescent="0.25">
      <c r="A48" s="9">
        <v>47</v>
      </c>
      <c r="B48" s="6">
        <f>'Plan11 (3)'!$G57</f>
        <v>2.1436999999999999E-9</v>
      </c>
      <c r="C48" s="6">
        <f>'Plan12 (3)'!$G57</f>
        <v>2.3409000000000001E-9</v>
      </c>
      <c r="D48" s="6">
        <f>'Plan13 (3)'!$G57</f>
        <v>1.4016E-9</v>
      </c>
      <c r="E48" s="6">
        <f>'Plan14 (3)'!$G57</f>
        <v>1.8013E-9</v>
      </c>
      <c r="F48" s="6">
        <f>'Plan15 (3)'!$G57</f>
        <v>1.802E-9</v>
      </c>
      <c r="G48" s="6">
        <f>'Plan16 (3)'!$G57</f>
        <v>1.7947E-9</v>
      </c>
      <c r="H48" s="6">
        <f>'Plan17 (3)'!$G57</f>
        <v>1.5112999999999999E-9</v>
      </c>
      <c r="I48" s="6">
        <f>'Plan18 (3)'!$G57</f>
        <v>1.7642E-9</v>
      </c>
      <c r="J48" s="6">
        <f>'Plan19 (3)'!$G57</f>
        <v>1.4919E-9</v>
      </c>
      <c r="K48" s="6">
        <f>'Plan20 (3)'!$G57</f>
        <v>1.4671E-9</v>
      </c>
      <c r="L48" s="7">
        <f t="shared" si="2"/>
        <v>1.7518700000000001E-9</v>
      </c>
      <c r="M48" s="6">
        <f t="shared" si="0"/>
        <v>1.5337583140180344E-9</v>
      </c>
      <c r="N48" s="6">
        <f t="shared" si="1"/>
        <v>1.9699816859819658E-9</v>
      </c>
      <c r="O48" s="6">
        <f t="shared" si="3"/>
        <v>2.1811168598196577E-10</v>
      </c>
    </row>
    <row r="49" spans="1:15" x14ac:dyDescent="0.25">
      <c r="A49" s="9">
        <v>48</v>
      </c>
      <c r="B49" s="6">
        <f>'Plan11 (3)'!$G58</f>
        <v>2.1445000000000002E-9</v>
      </c>
      <c r="C49" s="6">
        <f>'Plan12 (3)'!$G58</f>
        <v>2.3393E-9</v>
      </c>
      <c r="D49" s="6">
        <f>'Plan13 (3)'!$G58</f>
        <v>1.4099000000000001E-9</v>
      </c>
      <c r="E49" s="6">
        <f>'Plan14 (3)'!$G58</f>
        <v>1.825E-9</v>
      </c>
      <c r="F49" s="6">
        <f>'Plan15 (3)'!$G58</f>
        <v>1.8274999999999999E-9</v>
      </c>
      <c r="G49" s="6">
        <f>'Plan16 (3)'!$G58</f>
        <v>1.7936000000000001E-9</v>
      </c>
      <c r="H49" s="6">
        <f>'Plan17 (3)'!$G58</f>
        <v>1.4990999999999999E-9</v>
      </c>
      <c r="I49" s="6">
        <f>'Plan18 (3)'!$G58</f>
        <v>1.7316000000000001E-9</v>
      </c>
      <c r="J49" s="6">
        <f>'Plan19 (3)'!$G58</f>
        <v>1.4659000000000001E-9</v>
      </c>
      <c r="K49" s="6">
        <f>'Plan20 (3)'!$G58</f>
        <v>1.4826E-9</v>
      </c>
      <c r="L49" s="7">
        <f t="shared" si="2"/>
        <v>1.7518999999999999E-9</v>
      </c>
      <c r="M49" s="6">
        <f t="shared" si="0"/>
        <v>1.5323718178545557E-9</v>
      </c>
      <c r="N49" s="6">
        <f t="shared" si="1"/>
        <v>1.9714281821454441E-9</v>
      </c>
      <c r="O49" s="6">
        <f t="shared" si="3"/>
        <v>2.1952818214544419E-10</v>
      </c>
    </row>
    <row r="50" spans="1:15" x14ac:dyDescent="0.25">
      <c r="A50" s="9">
        <v>49</v>
      </c>
      <c r="B50" s="6">
        <f>'Plan11 (3)'!$G59</f>
        <v>2.1345E-9</v>
      </c>
      <c r="C50" s="6">
        <f>'Plan12 (3)'!$G59</f>
        <v>2.3254999999999999E-9</v>
      </c>
      <c r="D50" s="6">
        <f>'Plan13 (3)'!$G59</f>
        <v>1.4125E-9</v>
      </c>
      <c r="E50" s="6">
        <f>'Plan14 (3)'!$G59</f>
        <v>1.8165000000000001E-9</v>
      </c>
      <c r="F50" s="6">
        <f>'Plan15 (3)'!$G59</f>
        <v>1.817E-9</v>
      </c>
      <c r="G50" s="6">
        <f>'Plan16 (3)'!$G59</f>
        <v>1.8014E-9</v>
      </c>
      <c r="H50" s="6">
        <f>'Plan17 (3)'!$G59</f>
        <v>1.5146999999999999E-9</v>
      </c>
      <c r="I50" s="6">
        <f>'Plan18 (3)'!$G59</f>
        <v>1.7259E-9</v>
      </c>
      <c r="J50" s="6">
        <f>'Plan19 (3)'!$G59</f>
        <v>1.4476E-9</v>
      </c>
      <c r="K50" s="6">
        <f>'Plan20 (3)'!$G59</f>
        <v>1.4626999999999999E-9</v>
      </c>
      <c r="L50" s="7">
        <f t="shared" si="2"/>
        <v>1.74583E-9</v>
      </c>
      <c r="M50" s="6">
        <f t="shared" si="0"/>
        <v>1.5280328284510716E-9</v>
      </c>
      <c r="N50" s="6">
        <f t="shared" si="1"/>
        <v>1.9636271715489286E-9</v>
      </c>
      <c r="O50" s="6">
        <f t="shared" si="3"/>
        <v>2.1779717154892842E-10</v>
      </c>
    </row>
    <row r="51" spans="1:15" x14ac:dyDescent="0.25">
      <c r="A51" s="10">
        <v>50</v>
      </c>
      <c r="B51" s="6">
        <f>'Plan11 (3)'!$G60</f>
        <v>2.0982000000000001E-9</v>
      </c>
      <c r="C51" s="6">
        <f>'Plan12 (3)'!$G60</f>
        <v>2.3166E-9</v>
      </c>
      <c r="D51" s="6">
        <f>'Plan13 (3)'!$G60</f>
        <v>1.3849E-9</v>
      </c>
      <c r="E51" s="6">
        <f>'Plan14 (3)'!$G60</f>
        <v>1.7797E-9</v>
      </c>
      <c r="F51" s="6">
        <f>'Plan15 (3)'!$G60</f>
        <v>1.8299000000000001E-9</v>
      </c>
      <c r="G51" s="6">
        <f>'Plan16 (3)'!$G60</f>
        <v>1.7950999999999999E-9</v>
      </c>
      <c r="H51" s="6">
        <f>'Plan17 (3)'!$G60</f>
        <v>1.5232999999999999E-9</v>
      </c>
      <c r="I51" s="6">
        <f>'Plan18 (3)'!$G60</f>
        <v>1.7064E-9</v>
      </c>
      <c r="J51" s="6">
        <f>'Plan19 (3)'!$G60</f>
        <v>1.4313E-9</v>
      </c>
      <c r="K51" s="6">
        <f>'Plan20 (3)'!$G60</f>
        <v>1.4578000000000001E-9</v>
      </c>
      <c r="L51" s="7">
        <f t="shared" si="2"/>
        <v>1.7323200000000001E-9</v>
      </c>
      <c r="M51" s="6">
        <f t="shared" si="0"/>
        <v>1.5161296856140248E-9</v>
      </c>
      <c r="N51" s="6">
        <f t="shared" si="1"/>
        <v>1.9485103143859753E-9</v>
      </c>
      <c r="O51" s="6">
        <f t="shared" si="3"/>
        <v>2.1619031438597518E-10</v>
      </c>
    </row>
    <row r="52" spans="1:15" x14ac:dyDescent="0.25">
      <c r="A52" s="9">
        <v>51</v>
      </c>
      <c r="B52" s="6">
        <f>'Plan11 (3)'!$G61</f>
        <v>2.0907999999999999E-9</v>
      </c>
      <c r="C52" s="6">
        <f>'Plan12 (3)'!$G61</f>
        <v>2.3049000000000002E-9</v>
      </c>
      <c r="D52" s="6">
        <f>'Plan13 (3)'!$G61</f>
        <v>1.3959999999999999E-9</v>
      </c>
      <c r="E52" s="6">
        <f>'Plan14 (3)'!$G61</f>
        <v>1.7979E-9</v>
      </c>
      <c r="F52" s="6">
        <f>'Plan15 (3)'!$G61</f>
        <v>1.8365E-9</v>
      </c>
      <c r="G52" s="6">
        <f>'Plan16 (3)'!$G61</f>
        <v>1.7868000000000001E-9</v>
      </c>
      <c r="H52" s="6">
        <f>'Plan17 (3)'!$G61</f>
        <v>1.5191000000000001E-9</v>
      </c>
      <c r="I52" s="6">
        <f>'Plan18 (3)'!$G61</f>
        <v>1.6874E-9</v>
      </c>
      <c r="J52" s="6">
        <f>'Plan19 (3)'!$G61</f>
        <v>1.4256999999999999E-9</v>
      </c>
      <c r="K52" s="6">
        <f>'Plan20 (3)'!$G61</f>
        <v>1.4671E-9</v>
      </c>
      <c r="L52" s="7">
        <f t="shared" si="2"/>
        <v>1.7312200000000004E-9</v>
      </c>
      <c r="M52" s="6">
        <f t="shared" si="0"/>
        <v>1.5180197533192074E-9</v>
      </c>
      <c r="N52" s="6">
        <f t="shared" si="1"/>
        <v>1.9444202466807933E-9</v>
      </c>
      <c r="O52" s="6">
        <f t="shared" si="3"/>
        <v>2.1320024668079285E-10</v>
      </c>
    </row>
    <row r="53" spans="1:15" x14ac:dyDescent="0.25">
      <c r="A53" s="9">
        <v>52</v>
      </c>
      <c r="B53" s="6">
        <f>'Plan11 (3)'!$G62</f>
        <v>2.0828999999999999E-9</v>
      </c>
      <c r="C53" s="6">
        <f>'Plan12 (3)'!$G62</f>
        <v>2.2889999999999999E-9</v>
      </c>
      <c r="D53" s="6">
        <f>'Plan13 (3)'!$G62</f>
        <v>1.4271E-9</v>
      </c>
      <c r="E53" s="6">
        <f>'Plan14 (3)'!$G62</f>
        <v>1.8011999999999999E-9</v>
      </c>
      <c r="F53" s="6">
        <f>'Plan15 (3)'!$G62</f>
        <v>1.8421999999999999E-9</v>
      </c>
      <c r="G53" s="6">
        <f>'Plan16 (3)'!$G62</f>
        <v>1.7838E-9</v>
      </c>
      <c r="H53" s="6">
        <f>'Plan17 (3)'!$G62</f>
        <v>1.5277E-9</v>
      </c>
      <c r="I53" s="6">
        <f>'Plan18 (3)'!$G62</f>
        <v>1.6985000000000001E-9</v>
      </c>
      <c r="J53" s="6">
        <f>'Plan19 (3)'!$G62</f>
        <v>1.4113000000000001E-9</v>
      </c>
      <c r="K53" s="6">
        <f>'Plan20 (3)'!$G62</f>
        <v>1.4676E-9</v>
      </c>
      <c r="L53" s="7">
        <f t="shared" si="2"/>
        <v>1.7331300000000002E-9</v>
      </c>
      <c r="M53" s="6">
        <f t="shared" si="0"/>
        <v>1.5250383770456919E-9</v>
      </c>
      <c r="N53" s="6">
        <f t="shared" si="1"/>
        <v>1.9412216229543085E-9</v>
      </c>
      <c r="O53" s="6">
        <f t="shared" si="3"/>
        <v>2.0809162295430829E-10</v>
      </c>
    </row>
    <row r="54" spans="1:15" x14ac:dyDescent="0.25">
      <c r="A54" s="9">
        <v>53</v>
      </c>
      <c r="B54" s="6">
        <f>'Plan11 (3)'!$G63</f>
        <v>2.0576E-9</v>
      </c>
      <c r="C54" s="6">
        <f>'Plan12 (3)'!$G63</f>
        <v>2.2750000000000001E-9</v>
      </c>
      <c r="D54" s="6">
        <f>'Plan13 (3)'!$G63</f>
        <v>1.4131E-9</v>
      </c>
      <c r="E54" s="6">
        <f>'Plan14 (3)'!$G63</f>
        <v>1.7632000000000001E-9</v>
      </c>
      <c r="F54" s="6">
        <f>'Plan15 (3)'!$G63</f>
        <v>1.8239999999999999E-9</v>
      </c>
      <c r="G54" s="6">
        <f>'Plan16 (3)'!$G63</f>
        <v>1.7761999999999999E-9</v>
      </c>
      <c r="H54" s="6">
        <f>'Plan17 (3)'!$G63</f>
        <v>1.5444E-9</v>
      </c>
      <c r="I54" s="6">
        <f>'Plan18 (3)'!$G63</f>
        <v>1.7132E-9</v>
      </c>
      <c r="J54" s="6">
        <f>'Plan19 (3)'!$G63</f>
        <v>1.3978000000000001E-9</v>
      </c>
      <c r="K54" s="6">
        <f>'Plan20 (3)'!$G63</f>
        <v>1.4619999999999999E-9</v>
      </c>
      <c r="L54" s="7">
        <f t="shared" si="2"/>
        <v>1.7226499999999998E-9</v>
      </c>
      <c r="M54" s="6">
        <f t="shared" si="0"/>
        <v>1.5184680869955694E-9</v>
      </c>
      <c r="N54" s="6">
        <f t="shared" si="1"/>
        <v>1.9268319130044305E-9</v>
      </c>
      <c r="O54" s="6">
        <f t="shared" si="3"/>
        <v>2.0418191300443046E-10</v>
      </c>
    </row>
    <row r="55" spans="1:15" x14ac:dyDescent="0.25">
      <c r="A55" s="9">
        <v>54</v>
      </c>
      <c r="B55" s="6">
        <f>'Plan11 (3)'!$G64</f>
        <v>2.0415E-9</v>
      </c>
      <c r="C55" s="6">
        <f>'Plan12 (3)'!$G64</f>
        <v>2.2617000000000002E-9</v>
      </c>
      <c r="D55" s="6">
        <f>'Plan13 (3)'!$G64</f>
        <v>1.4180000000000001E-9</v>
      </c>
      <c r="E55" s="6">
        <f>'Plan14 (3)'!$G64</f>
        <v>1.7806E-9</v>
      </c>
      <c r="F55" s="6">
        <f>'Plan15 (3)'!$G64</f>
        <v>1.8243E-9</v>
      </c>
      <c r="G55" s="6">
        <f>'Plan16 (3)'!$G64</f>
        <v>1.7713000000000001E-9</v>
      </c>
      <c r="H55" s="6">
        <f>'Plan17 (3)'!$G64</f>
        <v>1.5519E-9</v>
      </c>
      <c r="I55" s="6">
        <f>'Plan18 (3)'!$G64</f>
        <v>1.7005999999999999E-9</v>
      </c>
      <c r="J55" s="6">
        <f>'Plan19 (3)'!$G64</f>
        <v>1.4005999999999999E-9</v>
      </c>
      <c r="K55" s="6">
        <f>'Plan20 (3)'!$G64</f>
        <v>1.4703E-9</v>
      </c>
      <c r="L55" s="7">
        <f t="shared" si="2"/>
        <v>1.7220799999999999E-9</v>
      </c>
      <c r="M55" s="6">
        <f t="shared" si="0"/>
        <v>1.5228410316001279E-9</v>
      </c>
      <c r="N55" s="6">
        <f t="shared" si="1"/>
        <v>1.9213189683998719E-9</v>
      </c>
      <c r="O55" s="6">
        <f t="shared" si="3"/>
        <v>1.9923896839987206E-10</v>
      </c>
    </row>
    <row r="56" spans="1:15" x14ac:dyDescent="0.25">
      <c r="A56" s="9">
        <v>55</v>
      </c>
      <c r="B56" s="6">
        <f>'Plan11 (3)'!$G65</f>
        <v>2.0415E-9</v>
      </c>
      <c r="C56" s="6">
        <f>'Plan12 (3)'!$G65</f>
        <v>2.2443999999999998E-9</v>
      </c>
      <c r="D56" s="6">
        <f>'Plan13 (3)'!$G65</f>
        <v>1.4498000000000001E-9</v>
      </c>
      <c r="E56" s="6">
        <f>'Plan14 (3)'!$G65</f>
        <v>1.7949999999999999E-9</v>
      </c>
      <c r="F56" s="6">
        <f>'Plan15 (3)'!$G65</f>
        <v>1.8319000000000001E-9</v>
      </c>
      <c r="G56" s="6">
        <f>'Plan16 (3)'!$G65</f>
        <v>1.7561E-9</v>
      </c>
      <c r="H56" s="6">
        <f>'Plan17 (3)'!$G65</f>
        <v>1.5537999999999999E-9</v>
      </c>
      <c r="I56" s="6">
        <f>'Plan18 (3)'!$G65</f>
        <v>1.6976E-9</v>
      </c>
      <c r="J56" s="6">
        <f>'Plan19 (3)'!$G65</f>
        <v>1.3890000000000001E-9</v>
      </c>
      <c r="K56" s="6">
        <f>'Plan20 (3)'!$G65</f>
        <v>1.4793000000000001E-9</v>
      </c>
      <c r="L56" s="7">
        <f t="shared" si="2"/>
        <v>1.7238400000000001E-9</v>
      </c>
      <c r="M56" s="6">
        <f t="shared" si="0"/>
        <v>1.5291995631921356E-9</v>
      </c>
      <c r="N56" s="6">
        <f t="shared" si="1"/>
        <v>1.9184804368078646E-9</v>
      </c>
      <c r="O56" s="6">
        <f t="shared" si="3"/>
        <v>1.946404368078644E-10</v>
      </c>
    </row>
    <row r="57" spans="1:15" x14ac:dyDescent="0.25">
      <c r="A57" s="9">
        <v>56</v>
      </c>
      <c r="B57" s="6">
        <f>'Plan11 (3)'!$G66</f>
        <v>2.0225E-9</v>
      </c>
      <c r="C57" s="6">
        <f>'Plan12 (3)'!$G66</f>
        <v>2.2277000000000001E-9</v>
      </c>
      <c r="D57" s="6">
        <f>'Plan13 (3)'!$G66</f>
        <v>1.4538999999999999E-9</v>
      </c>
      <c r="E57" s="6">
        <f>'Plan14 (3)'!$G66</f>
        <v>1.7764E-9</v>
      </c>
      <c r="F57" s="6">
        <f>'Plan15 (3)'!$G66</f>
        <v>1.8146999999999999E-9</v>
      </c>
      <c r="G57" s="6">
        <f>'Plan16 (3)'!$G66</f>
        <v>1.7483000000000001E-9</v>
      </c>
      <c r="H57" s="6">
        <f>'Plan17 (3)'!$G66</f>
        <v>1.5707E-9</v>
      </c>
      <c r="I57" s="6">
        <f>'Plan18 (3)'!$G66</f>
        <v>1.7165E-9</v>
      </c>
      <c r="J57" s="6">
        <f>'Plan19 (3)'!$G66</f>
        <v>1.3877999999999999E-9</v>
      </c>
      <c r="K57" s="6">
        <f>'Plan20 (3)'!$G66</f>
        <v>1.4699000000000001E-9</v>
      </c>
      <c r="L57" s="7">
        <f t="shared" si="2"/>
        <v>1.7188400000000002E-9</v>
      </c>
      <c r="M57" s="6">
        <f t="shared" si="0"/>
        <v>1.5298417932729381E-9</v>
      </c>
      <c r="N57" s="6">
        <f t="shared" si="1"/>
        <v>1.9078382067270626E-9</v>
      </c>
      <c r="O57" s="6">
        <f t="shared" si="3"/>
        <v>1.8899820672706222E-10</v>
      </c>
    </row>
    <row r="58" spans="1:15" x14ac:dyDescent="0.25">
      <c r="A58" s="9">
        <v>57</v>
      </c>
      <c r="B58" s="6">
        <f>'Plan11 (3)'!$G67</f>
        <v>1.9924999999999999E-9</v>
      </c>
      <c r="C58" s="6">
        <f>'Plan12 (3)'!$G67</f>
        <v>2.2281000000000002E-9</v>
      </c>
      <c r="D58" s="6">
        <f>'Plan13 (3)'!$G67</f>
        <v>1.4534E-9</v>
      </c>
      <c r="E58" s="6">
        <f>'Plan14 (3)'!$G67</f>
        <v>1.7673000000000001E-9</v>
      </c>
      <c r="F58" s="6">
        <f>'Plan15 (3)'!$G67</f>
        <v>1.8333000000000001E-9</v>
      </c>
      <c r="G58" s="6">
        <f>'Plan16 (3)'!$G67</f>
        <v>1.7372E-9</v>
      </c>
      <c r="H58" s="6">
        <f>'Plan17 (3)'!$G67</f>
        <v>1.5751000000000001E-9</v>
      </c>
      <c r="I58" s="6">
        <f>'Plan18 (3)'!$G67</f>
        <v>1.7083E-9</v>
      </c>
      <c r="J58" s="6">
        <f>'Plan19 (3)'!$G67</f>
        <v>1.3945999999999999E-9</v>
      </c>
      <c r="K58" s="6">
        <f>'Plan20 (3)'!$G67</f>
        <v>1.4794999999999999E-9</v>
      </c>
      <c r="L58" s="7">
        <f t="shared" si="2"/>
        <v>1.71693E-9</v>
      </c>
      <c r="M58" s="6">
        <f t="shared" si="0"/>
        <v>1.5316675226146719E-9</v>
      </c>
      <c r="N58" s="6">
        <f t="shared" si="1"/>
        <v>1.9021924773853283E-9</v>
      </c>
      <c r="O58" s="6">
        <f t="shared" si="3"/>
        <v>1.8526247738532812E-10</v>
      </c>
    </row>
    <row r="59" spans="1:15" x14ac:dyDescent="0.25">
      <c r="A59" s="9">
        <v>58</v>
      </c>
      <c r="B59" s="6">
        <f>'Plan11 (3)'!$G68</f>
        <v>1.9822E-9</v>
      </c>
      <c r="C59" s="6">
        <f>'Plan12 (3)'!$G68</f>
        <v>2.2142000000000001E-9</v>
      </c>
      <c r="D59" s="6">
        <f>'Plan13 (3)'!$G68</f>
        <v>1.4801999999999999E-9</v>
      </c>
      <c r="E59" s="6">
        <f>'Plan14 (3)'!$G68</f>
        <v>1.7818E-9</v>
      </c>
      <c r="F59" s="6">
        <f>'Plan15 (3)'!$G68</f>
        <v>1.8391E-9</v>
      </c>
      <c r="G59" s="6">
        <f>'Plan16 (3)'!$G68</f>
        <v>1.7121999999999999E-9</v>
      </c>
      <c r="H59" s="6">
        <f>'Plan17 (3)'!$G68</f>
        <v>1.5717000000000001E-9</v>
      </c>
      <c r="I59" s="6">
        <f>'Plan18 (3)'!$G68</f>
        <v>1.7028E-9</v>
      </c>
      <c r="J59" s="6">
        <f>'Plan19 (3)'!$G68</f>
        <v>1.3774E-9</v>
      </c>
      <c r="K59" s="6">
        <f>'Plan20 (3)'!$G68</f>
        <v>1.4862000000000001E-9</v>
      </c>
      <c r="L59" s="7">
        <f t="shared" si="2"/>
        <v>1.7147799999999997E-9</v>
      </c>
      <c r="M59" s="6">
        <f t="shared" si="0"/>
        <v>1.5327727995964171E-9</v>
      </c>
      <c r="N59" s="6">
        <f t="shared" si="1"/>
        <v>1.8967872004035822E-9</v>
      </c>
      <c r="O59" s="6">
        <f t="shared" si="3"/>
        <v>1.8200720040358265E-10</v>
      </c>
    </row>
    <row r="60" spans="1:15" x14ac:dyDescent="0.25">
      <c r="A60" s="9">
        <v>59</v>
      </c>
      <c r="B60" s="6">
        <f>'Plan11 (3)'!$G69</f>
        <v>1.9644E-9</v>
      </c>
      <c r="C60" s="6">
        <f>'Plan12 (3)'!$G69</f>
        <v>2.2007000000000001E-9</v>
      </c>
      <c r="D60" s="6">
        <f>'Plan13 (3)'!$G69</f>
        <v>1.5064000000000001E-9</v>
      </c>
      <c r="E60" s="6">
        <f>'Plan14 (3)'!$G69</f>
        <v>1.7768999999999999E-9</v>
      </c>
      <c r="F60" s="6">
        <f>'Plan15 (3)'!$G69</f>
        <v>1.8300999999999999E-9</v>
      </c>
      <c r="G60" s="6">
        <f>'Plan16 (3)'!$G69</f>
        <v>1.7101999999999999E-9</v>
      </c>
      <c r="H60" s="6">
        <f>'Plan17 (3)'!$G69</f>
        <v>1.5837E-9</v>
      </c>
      <c r="I60" s="6">
        <f>'Plan18 (3)'!$G69</f>
        <v>1.7225E-9</v>
      </c>
      <c r="J60" s="6">
        <f>'Plan19 (3)'!$G69</f>
        <v>1.3645E-9</v>
      </c>
      <c r="K60" s="6">
        <f>'Plan20 (3)'!$G69</f>
        <v>1.4814999999999999E-9</v>
      </c>
      <c r="L60" s="7">
        <f t="shared" si="2"/>
        <v>1.7140899999999996E-9</v>
      </c>
      <c r="M60" s="6">
        <f t="shared" si="0"/>
        <v>1.536706227028337E-9</v>
      </c>
      <c r="N60" s="6">
        <f t="shared" si="1"/>
        <v>1.8914737729716624E-9</v>
      </c>
      <c r="O60" s="6">
        <f t="shared" si="3"/>
        <v>1.7738377297166259E-10</v>
      </c>
    </row>
    <row r="61" spans="1:15" x14ac:dyDescent="0.25">
      <c r="A61" s="10">
        <v>60</v>
      </c>
      <c r="B61" s="6">
        <f>'Plan11 (3)'!$G70</f>
        <v>1.9238999999999999E-9</v>
      </c>
      <c r="C61" s="6">
        <f>'Plan12 (3)'!$G70</f>
        <v>2.1971000000000002E-9</v>
      </c>
      <c r="D61" s="6">
        <f>'Plan13 (3)'!$G70</f>
        <v>1.4921E-9</v>
      </c>
      <c r="E61" s="6">
        <f>'Plan14 (3)'!$G70</f>
        <v>1.7592000000000001E-9</v>
      </c>
      <c r="F61" s="6">
        <f>'Plan15 (3)'!$G70</f>
        <v>1.8331E-9</v>
      </c>
      <c r="G61" s="6">
        <f>'Plan16 (3)'!$G70</f>
        <v>1.7004E-9</v>
      </c>
      <c r="H61" s="6">
        <f>'Plan17 (3)'!$G70</f>
        <v>1.5839000000000001E-9</v>
      </c>
      <c r="I61" s="6">
        <f>'Plan18 (3)'!$G70</f>
        <v>1.7332E-9</v>
      </c>
      <c r="J61" s="6">
        <f>'Plan19 (3)'!$G70</f>
        <v>1.3672E-9</v>
      </c>
      <c r="K61" s="6">
        <f>'Plan20 (3)'!$G70</f>
        <v>1.4895999999999999E-9</v>
      </c>
      <c r="L61" s="7">
        <f t="shared" si="2"/>
        <v>1.7079700000000003E-9</v>
      </c>
      <c r="M61" s="6">
        <f t="shared" si="0"/>
        <v>1.5342672473232442E-9</v>
      </c>
      <c r="N61" s="6">
        <f t="shared" si="1"/>
        <v>1.8816727526767563E-9</v>
      </c>
      <c r="O61" s="6">
        <f t="shared" si="3"/>
        <v>1.7370275267675603E-10</v>
      </c>
    </row>
    <row r="62" spans="1:15" x14ac:dyDescent="0.25">
      <c r="A62" s="9">
        <v>61</v>
      </c>
      <c r="B62" s="6">
        <f>'Plan11 (3)'!$G71</f>
        <v>1.9075999999999999E-9</v>
      </c>
      <c r="C62" s="6">
        <f>'Plan12 (3)'!$G71</f>
        <v>2.1807000000000001E-9</v>
      </c>
      <c r="D62" s="6">
        <f>'Plan13 (3)'!$G71</f>
        <v>1.4984999999999999E-9</v>
      </c>
      <c r="E62" s="6">
        <f>'Plan14 (3)'!$G71</f>
        <v>1.7698E-9</v>
      </c>
      <c r="F62" s="6">
        <f>'Plan15 (3)'!$G71</f>
        <v>1.8380000000000001E-9</v>
      </c>
      <c r="G62" s="6">
        <f>'Plan16 (3)'!$G71</f>
        <v>1.6923E-9</v>
      </c>
      <c r="H62" s="6">
        <f>'Plan17 (3)'!$G71</f>
        <v>1.5812999999999999E-9</v>
      </c>
      <c r="I62" s="6">
        <f>'Plan18 (3)'!$G71</f>
        <v>1.7353E-9</v>
      </c>
      <c r="J62" s="6">
        <f>'Plan19 (3)'!$G71</f>
        <v>1.3560999999999999E-9</v>
      </c>
      <c r="K62" s="6">
        <f>'Plan20 (3)'!$G71</f>
        <v>1.4882999999999999E-9</v>
      </c>
      <c r="L62" s="7">
        <f t="shared" si="2"/>
        <v>1.7047899999999999E-9</v>
      </c>
      <c r="M62" s="6">
        <f t="shared" si="0"/>
        <v>1.5333465642145525E-9</v>
      </c>
      <c r="N62" s="6">
        <f t="shared" si="1"/>
        <v>1.8762334357854472E-9</v>
      </c>
      <c r="O62" s="6">
        <f t="shared" si="3"/>
        <v>1.7144343578544734E-10</v>
      </c>
    </row>
    <row r="63" spans="1:15" x14ac:dyDescent="0.25">
      <c r="A63" s="9">
        <v>62</v>
      </c>
      <c r="B63" s="6">
        <f>'Plan11 (3)'!$G72</f>
        <v>1.8787000000000001E-9</v>
      </c>
      <c r="C63" s="6">
        <f>'Plan12 (3)'!$G72</f>
        <v>2.1618000000000001E-9</v>
      </c>
      <c r="D63" s="6">
        <f>'Plan13 (3)'!$G72</f>
        <v>1.5327999999999999E-9</v>
      </c>
      <c r="E63" s="6">
        <f>'Plan14 (3)'!$G72</f>
        <v>1.7817E-9</v>
      </c>
      <c r="F63" s="6">
        <f>'Plan15 (3)'!$G72</f>
        <v>1.8381000000000001E-9</v>
      </c>
      <c r="G63" s="6">
        <f>'Plan16 (3)'!$G72</f>
        <v>1.6746E-9</v>
      </c>
      <c r="H63" s="6">
        <f>'Plan17 (3)'!$G72</f>
        <v>1.5894999999999999E-9</v>
      </c>
      <c r="I63" s="6">
        <f>'Plan18 (3)'!$G72</f>
        <v>1.7457000000000001E-9</v>
      </c>
      <c r="J63" s="6">
        <f>'Plan19 (3)'!$G72</f>
        <v>1.3498E-9</v>
      </c>
      <c r="K63" s="6">
        <f>'Plan20 (3)'!$G72</f>
        <v>1.4873E-9</v>
      </c>
      <c r="L63" s="7">
        <f t="shared" si="2"/>
        <v>1.7039999999999999E-9</v>
      </c>
      <c r="M63" s="6">
        <f t="shared" si="0"/>
        <v>1.5385270734954339E-9</v>
      </c>
      <c r="N63" s="6">
        <f t="shared" si="1"/>
        <v>1.8694729265045661E-9</v>
      </c>
      <c r="O63" s="6">
        <f t="shared" si="3"/>
        <v>1.65472926504566E-10</v>
      </c>
    </row>
    <row r="64" spans="1:15" x14ac:dyDescent="0.25">
      <c r="A64" s="9">
        <v>63</v>
      </c>
      <c r="B64" s="6">
        <f>'Plan11 (3)'!$G73</f>
        <v>1.8478E-9</v>
      </c>
      <c r="C64" s="6">
        <f>'Plan12 (3)'!$G73</f>
        <v>2.1470000000000001E-9</v>
      </c>
      <c r="D64" s="6">
        <f>'Plan13 (3)'!$G73</f>
        <v>1.5326000000000001E-9</v>
      </c>
      <c r="E64" s="6">
        <f>'Plan14 (3)'!$G73</f>
        <v>1.7741999999999999E-9</v>
      </c>
      <c r="F64" s="6">
        <f>'Plan15 (3)'!$G73</f>
        <v>1.831E-9</v>
      </c>
      <c r="G64" s="6">
        <f>'Plan16 (3)'!$G73</f>
        <v>1.661E-9</v>
      </c>
      <c r="H64" s="6">
        <f>'Plan17 (3)'!$G73</f>
        <v>1.5954000000000001E-9</v>
      </c>
      <c r="I64" s="6">
        <f>'Plan18 (3)'!$G73</f>
        <v>1.7635E-9</v>
      </c>
      <c r="J64" s="6">
        <f>'Plan19 (3)'!$G73</f>
        <v>1.3456E-9</v>
      </c>
      <c r="K64" s="6">
        <f>'Plan20 (3)'!$G73</f>
        <v>1.4841000000000001E-9</v>
      </c>
      <c r="L64" s="7">
        <f t="shared" si="2"/>
        <v>1.6982200000000004E-9</v>
      </c>
      <c r="M64" s="6">
        <f t="shared" si="0"/>
        <v>1.5363149017063925E-9</v>
      </c>
      <c r="N64" s="6">
        <f t="shared" si="1"/>
        <v>1.8601250982936082E-9</v>
      </c>
      <c r="O64" s="6">
        <f t="shared" si="3"/>
        <v>1.6190509829360777E-10</v>
      </c>
    </row>
    <row r="65" spans="1:15" x14ac:dyDescent="0.25">
      <c r="A65" s="9">
        <v>64</v>
      </c>
      <c r="B65" s="6">
        <f>'Plan11 (3)'!$G74</f>
        <v>1.8172000000000001E-9</v>
      </c>
      <c r="C65" s="6">
        <f>'Plan12 (3)'!$G74</f>
        <v>2.1307000000000001E-9</v>
      </c>
      <c r="D65" s="6">
        <f>'Plan13 (3)'!$G74</f>
        <v>1.5384E-9</v>
      </c>
      <c r="E65" s="6">
        <f>'Plan14 (3)'!$G74</f>
        <v>1.7876999999999999E-9</v>
      </c>
      <c r="F65" s="6">
        <f>'Plan15 (3)'!$G74</f>
        <v>1.8386E-9</v>
      </c>
      <c r="G65" s="6">
        <f>'Plan16 (3)'!$G74</f>
        <v>1.6512E-9</v>
      </c>
      <c r="H65" s="6">
        <f>'Plan17 (3)'!$G74</f>
        <v>1.5997E-9</v>
      </c>
      <c r="I65" s="6">
        <f>'Plan18 (3)'!$G74</f>
        <v>1.7510000000000001E-9</v>
      </c>
      <c r="J65" s="6">
        <f>'Plan19 (3)'!$G74</f>
        <v>1.3533999999999999E-9</v>
      </c>
      <c r="K65" s="6">
        <f>'Plan20 (3)'!$G74</f>
        <v>1.4981E-9</v>
      </c>
      <c r="L65" s="7">
        <f t="shared" si="2"/>
        <v>1.6966000000000001E-9</v>
      </c>
      <c r="M65" s="6">
        <f t="shared" si="0"/>
        <v>1.5405865354940054E-9</v>
      </c>
      <c r="N65" s="6">
        <f t="shared" si="1"/>
        <v>1.8526134645059948E-9</v>
      </c>
      <c r="O65" s="6">
        <f t="shared" si="3"/>
        <v>1.5601346450599473E-10</v>
      </c>
    </row>
    <row r="66" spans="1:15" x14ac:dyDescent="0.25">
      <c r="A66" s="9">
        <v>65</v>
      </c>
      <c r="B66" s="6">
        <f>'Plan11 (3)'!$G75</f>
        <v>1.8054E-9</v>
      </c>
      <c r="C66" s="6">
        <f>'Plan12 (3)'!$G75</f>
        <v>2.1037000000000001E-9</v>
      </c>
      <c r="D66" s="6">
        <f>'Plan13 (3)'!$G75</f>
        <v>1.5738000000000001E-9</v>
      </c>
      <c r="E66" s="6">
        <f>'Plan14 (3)'!$G75</f>
        <v>1.8038999999999999E-9</v>
      </c>
      <c r="F66" s="6">
        <f>'Plan15 (3)'!$G75</f>
        <v>1.8434000000000001E-9</v>
      </c>
      <c r="G66" s="6">
        <f>'Plan16 (3)'!$G75</f>
        <v>1.6221E-9</v>
      </c>
      <c r="H66" s="6">
        <f>'Plan17 (3)'!$G75</f>
        <v>1.6061000000000001E-9</v>
      </c>
      <c r="I66" s="6">
        <f>'Plan18 (3)'!$G75</f>
        <v>1.7505999999999999E-9</v>
      </c>
      <c r="J66" s="6">
        <f>'Plan19 (3)'!$G75</f>
        <v>1.3412000000000001E-9</v>
      </c>
      <c r="K66" s="6">
        <f>'Plan20 (3)'!$G75</f>
        <v>1.5021E-9</v>
      </c>
      <c r="L66" s="7">
        <f t="shared" si="2"/>
        <v>1.6952300000000002E-9</v>
      </c>
      <c r="M66" s="6">
        <f t="shared" ref="M66:M88" si="4">L66-O66</f>
        <v>1.54320130174155E-9</v>
      </c>
      <c r="N66" s="6">
        <f t="shared" ref="N66:N88" si="5">L66+O66</f>
        <v>1.8472586982584503E-9</v>
      </c>
      <c r="O66" s="6">
        <f t="shared" si="3"/>
        <v>1.5202869825845015E-10</v>
      </c>
    </row>
    <row r="67" spans="1:15" x14ac:dyDescent="0.25">
      <c r="A67" s="9">
        <v>66</v>
      </c>
      <c r="B67" s="6">
        <f>'Plan11 (3)'!$G76</f>
        <v>1.7814000000000001E-9</v>
      </c>
      <c r="C67" s="6">
        <f>'Plan12 (3)'!$G76</f>
        <v>2.0880999999999999E-9</v>
      </c>
      <c r="D67" s="6">
        <f>'Plan13 (3)'!$G76</f>
        <v>1.5912E-9</v>
      </c>
      <c r="E67" s="6">
        <f>'Plan14 (3)'!$G76</f>
        <v>1.7963000000000001E-9</v>
      </c>
      <c r="F67" s="6">
        <f>'Plan15 (3)'!$G76</f>
        <v>1.8412E-9</v>
      </c>
      <c r="G67" s="6">
        <f>'Plan16 (3)'!$G76</f>
        <v>1.6095000000000001E-9</v>
      </c>
      <c r="H67" s="6">
        <f>'Plan17 (3)'!$G76</f>
        <v>1.6226E-9</v>
      </c>
      <c r="I67" s="6">
        <f>'Plan18 (3)'!$G76</f>
        <v>1.7639000000000001E-9</v>
      </c>
      <c r="J67" s="6">
        <f>'Plan19 (3)'!$G76</f>
        <v>1.3426000000000001E-9</v>
      </c>
      <c r="K67" s="6">
        <f>'Plan20 (3)'!$G76</f>
        <v>1.4972E-9</v>
      </c>
      <c r="L67" s="7">
        <f t="shared" ref="L67:L88" si="6">AVERAGE(B67:K67)</f>
        <v>1.6934000000000002E-9</v>
      </c>
      <c r="M67" s="6">
        <f t="shared" si="4"/>
        <v>1.5454466664085473E-9</v>
      </c>
      <c r="N67" s="6">
        <f t="shared" si="5"/>
        <v>1.841353333591453E-9</v>
      </c>
      <c r="O67" s="6">
        <f t="shared" ref="O67:O88" si="7">_xlfn.CONFIDENCE.T(0.05,_xlfn.STDEV.S(B67:K67),COUNTA(B67:K67))</f>
        <v>1.4795333359145272E-10</v>
      </c>
    </row>
    <row r="68" spans="1:15" x14ac:dyDescent="0.25">
      <c r="A68" s="9">
        <v>67</v>
      </c>
      <c r="B68" s="6">
        <f>'Plan11 (3)'!$G77</f>
        <v>1.7442E-9</v>
      </c>
      <c r="C68" s="6">
        <f>'Plan12 (3)'!$G77</f>
        <v>2.0779E-9</v>
      </c>
      <c r="D68" s="6">
        <f>'Plan13 (3)'!$G77</f>
        <v>1.5912E-9</v>
      </c>
      <c r="E68" s="6">
        <f>'Plan14 (3)'!$G77</f>
        <v>1.7875000000000001E-9</v>
      </c>
      <c r="F68" s="6">
        <f>'Plan15 (3)'!$G77</f>
        <v>1.8627000000000002E-9</v>
      </c>
      <c r="G68" s="6">
        <f>'Plan16 (3)'!$G77</f>
        <v>1.5934999999999999E-9</v>
      </c>
      <c r="H68" s="6">
        <f>'Plan17 (3)'!$G77</f>
        <v>1.6283000000000001E-9</v>
      </c>
      <c r="I68" s="6">
        <f>'Plan18 (3)'!$G77</f>
        <v>1.7599000000000001E-9</v>
      </c>
      <c r="J68" s="6">
        <f>'Plan19 (3)'!$G77</f>
        <v>1.3642999999999999E-9</v>
      </c>
      <c r="K68" s="6">
        <f>'Plan20 (3)'!$G77</f>
        <v>1.5119999999999999E-9</v>
      </c>
      <c r="L68" s="7">
        <f t="shared" si="6"/>
        <v>1.69215E-9</v>
      </c>
      <c r="M68" s="6">
        <f t="shared" si="4"/>
        <v>1.5494326727103642E-9</v>
      </c>
      <c r="N68" s="6">
        <f t="shared" si="5"/>
        <v>1.8348673272896358E-9</v>
      </c>
      <c r="O68" s="6">
        <f t="shared" si="7"/>
        <v>1.4271732728963591E-10</v>
      </c>
    </row>
    <row r="69" spans="1:15" x14ac:dyDescent="0.25">
      <c r="A69" s="9">
        <v>68</v>
      </c>
      <c r="B69" s="6">
        <f>'Plan11 (3)'!$G78</f>
        <v>1.7310999999999999E-9</v>
      </c>
      <c r="C69" s="6">
        <f>'Plan12 (3)'!$G78</f>
        <v>2.0579000000000001E-9</v>
      </c>
      <c r="D69" s="6">
        <f>'Plan13 (3)'!$G78</f>
        <v>1.6088000000000001E-9</v>
      </c>
      <c r="E69" s="6">
        <f>'Plan14 (3)'!$G78</f>
        <v>1.8007E-9</v>
      </c>
      <c r="F69" s="6">
        <f>'Plan15 (3)'!$G78</f>
        <v>1.8681000000000002E-9</v>
      </c>
      <c r="G69" s="6">
        <f>'Plan16 (3)'!$G78</f>
        <v>1.5772999999999999E-9</v>
      </c>
      <c r="H69" s="6">
        <f>'Plan17 (3)'!$G78</f>
        <v>1.6322E-9</v>
      </c>
      <c r="I69" s="6">
        <f>'Plan18 (3)'!$G78</f>
        <v>1.7548E-9</v>
      </c>
      <c r="J69" s="6">
        <f>'Plan19 (3)'!$G78</f>
        <v>1.3563E-9</v>
      </c>
      <c r="K69" s="6">
        <f>'Plan20 (3)'!$G78</f>
        <v>1.5138999999999999E-9</v>
      </c>
      <c r="L69" s="7">
        <f t="shared" si="6"/>
        <v>1.6901100000000003E-9</v>
      </c>
      <c r="M69" s="6">
        <f t="shared" si="4"/>
        <v>1.5489963716581287E-9</v>
      </c>
      <c r="N69" s="6">
        <f t="shared" si="5"/>
        <v>1.8312236283418718E-9</v>
      </c>
      <c r="O69" s="6">
        <f t="shared" si="7"/>
        <v>1.4111362834187152E-10</v>
      </c>
    </row>
    <row r="70" spans="1:15" x14ac:dyDescent="0.25">
      <c r="A70" s="9">
        <v>69</v>
      </c>
      <c r="B70" s="6">
        <f>'Plan11 (3)'!$G79</f>
        <v>1.7083E-9</v>
      </c>
      <c r="C70" s="6">
        <f>'Plan12 (3)'!$G79</f>
        <v>2.0476999999999999E-9</v>
      </c>
      <c r="D70" s="6">
        <f>'Plan13 (3)'!$G79</f>
        <v>1.6417E-9</v>
      </c>
      <c r="E70" s="6">
        <f>'Plan14 (3)'!$G79</f>
        <v>1.806E-9</v>
      </c>
      <c r="F70" s="6">
        <f>'Plan15 (3)'!$G79</f>
        <v>1.8661E-9</v>
      </c>
      <c r="G70" s="6">
        <f>'Plan16 (3)'!$G79</f>
        <v>1.5583000000000001E-9</v>
      </c>
      <c r="H70" s="6">
        <f>'Plan17 (3)'!$G79</f>
        <v>1.6501999999999999E-9</v>
      </c>
      <c r="I70" s="6">
        <f>'Plan18 (3)'!$G79</f>
        <v>1.7728999999999999E-9</v>
      </c>
      <c r="J70" s="6">
        <f>'Plan19 (3)'!$G79</f>
        <v>1.3588999999999999E-9</v>
      </c>
      <c r="K70" s="6">
        <f>'Plan20 (3)'!$G79</f>
        <v>1.5154E-9</v>
      </c>
      <c r="L70" s="7">
        <f t="shared" si="6"/>
        <v>1.6925499999999999E-9</v>
      </c>
      <c r="M70" s="6">
        <f t="shared" si="4"/>
        <v>1.5533189760361277E-9</v>
      </c>
      <c r="N70" s="6">
        <f t="shared" si="5"/>
        <v>1.8317810239638721E-9</v>
      </c>
      <c r="O70" s="6">
        <f t="shared" si="7"/>
        <v>1.3923102396387226E-10</v>
      </c>
    </row>
    <row r="71" spans="1:15" x14ac:dyDescent="0.25">
      <c r="A71" s="10">
        <v>70</v>
      </c>
      <c r="B71" s="6">
        <f>'Plan11 (3)'!$G80</f>
        <v>1.6668000000000001E-9</v>
      </c>
      <c r="C71" s="6">
        <f>'Plan12 (3)'!$G80</f>
        <v>2.0355999999999999E-9</v>
      </c>
      <c r="D71" s="6">
        <f>'Plan13 (3)'!$G80</f>
        <v>1.6445000000000001E-9</v>
      </c>
      <c r="E71" s="6">
        <f>'Plan14 (3)'!$G80</f>
        <v>1.7996000000000001E-9</v>
      </c>
      <c r="F71" s="6">
        <f>'Plan15 (3)'!$G80</f>
        <v>1.8754E-9</v>
      </c>
      <c r="G71" s="6">
        <f>'Plan16 (3)'!$G80</f>
        <v>1.5437E-9</v>
      </c>
      <c r="H71" s="6">
        <f>'Plan17 (3)'!$G80</f>
        <v>1.6577E-9</v>
      </c>
      <c r="I71" s="6">
        <f>'Plan18 (3)'!$G80</f>
        <v>1.7867E-9</v>
      </c>
      <c r="J71" s="6">
        <f>'Plan19 (3)'!$G80</f>
        <v>1.3696999999999999E-9</v>
      </c>
      <c r="K71" s="6">
        <f>'Plan20 (3)'!$G80</f>
        <v>1.5208E-9</v>
      </c>
      <c r="L71" s="7">
        <f t="shared" si="6"/>
        <v>1.69005E-9</v>
      </c>
      <c r="M71" s="6">
        <f t="shared" si="4"/>
        <v>1.5527686079529993E-9</v>
      </c>
      <c r="N71" s="6">
        <f t="shared" si="5"/>
        <v>1.8273313920470006E-9</v>
      </c>
      <c r="O71" s="6">
        <f t="shared" si="7"/>
        <v>1.3728139204700076E-10</v>
      </c>
    </row>
    <row r="72" spans="1:15" x14ac:dyDescent="0.25">
      <c r="A72" s="9">
        <v>71</v>
      </c>
      <c r="B72" s="6">
        <f>'Plan11 (3)'!$G81</f>
        <v>1.6469E-9</v>
      </c>
      <c r="C72" s="6">
        <f>'Plan12 (3)'!$G81</f>
        <v>2.0284000000000002E-9</v>
      </c>
      <c r="D72" s="6">
        <f>'Plan13 (3)'!$G81</f>
        <v>1.655E-9</v>
      </c>
      <c r="E72" s="6">
        <f>'Plan14 (3)'!$G81</f>
        <v>1.8158000000000001E-9</v>
      </c>
      <c r="F72" s="6">
        <f>'Plan15 (3)'!$G81</f>
        <v>1.8867000000000001E-9</v>
      </c>
      <c r="G72" s="6">
        <f>'Plan16 (3)'!$G81</f>
        <v>1.5279000000000001E-9</v>
      </c>
      <c r="H72" s="6">
        <f>'Plan17 (3)'!$G81</f>
        <v>1.6629999999999999E-9</v>
      </c>
      <c r="I72" s="6">
        <f>'Plan18 (3)'!$G81</f>
        <v>1.7838E-9</v>
      </c>
      <c r="J72" s="6">
        <f>'Plan19 (3)'!$G81</f>
        <v>1.376E-9</v>
      </c>
      <c r="K72" s="6">
        <f>'Plan20 (3)'!$G81</f>
        <v>1.5273000000000001E-9</v>
      </c>
      <c r="L72" s="7">
        <f t="shared" si="6"/>
        <v>1.6910800000000001E-9</v>
      </c>
      <c r="M72" s="6">
        <f t="shared" si="4"/>
        <v>1.5534838939184673E-9</v>
      </c>
      <c r="N72" s="6">
        <f t="shared" si="5"/>
        <v>1.8286761060815329E-9</v>
      </c>
      <c r="O72" s="6">
        <f t="shared" si="7"/>
        <v>1.3759610608153282E-10</v>
      </c>
    </row>
    <row r="73" spans="1:15" x14ac:dyDescent="0.25">
      <c r="A73" s="9">
        <v>73</v>
      </c>
      <c r="B73" s="6">
        <f>'Plan11 (3)'!$G82</f>
        <v>1.6062999999999999E-9</v>
      </c>
      <c r="C73" s="6">
        <f>'Plan12 (3)'!$G82</f>
        <v>2.0181999999999999E-9</v>
      </c>
      <c r="D73" s="6">
        <f>'Plan13 (3)'!$G82</f>
        <v>1.6966999999999999E-9</v>
      </c>
      <c r="E73" s="6">
        <f>'Plan14 (3)'!$G82</f>
        <v>1.8287999999999999E-9</v>
      </c>
      <c r="F73" s="6">
        <f>'Plan15 (3)'!$G82</f>
        <v>1.9034999999999999E-9</v>
      </c>
      <c r="G73" s="6">
        <f>'Plan16 (3)'!$G82</f>
        <v>1.4975000000000001E-9</v>
      </c>
      <c r="H73" s="6">
        <f>'Plan17 (3)'!$G82</f>
        <v>1.7025000000000001E-9</v>
      </c>
      <c r="I73" s="6">
        <f>'Plan18 (3)'!$G82</f>
        <v>1.8137000000000001E-9</v>
      </c>
      <c r="J73" s="6">
        <f>'Plan19 (3)'!$G82</f>
        <v>1.3904000000000001E-9</v>
      </c>
      <c r="K73" s="6">
        <f>'Plan20 (3)'!$G82</f>
        <v>1.5346000000000001E-9</v>
      </c>
      <c r="L73" s="7">
        <f t="shared" si="6"/>
        <v>1.6992200000000003E-9</v>
      </c>
      <c r="M73" s="6">
        <f t="shared" si="4"/>
        <v>1.559123045359712E-9</v>
      </c>
      <c r="N73" s="6">
        <f t="shared" si="5"/>
        <v>1.8393169546402885E-9</v>
      </c>
      <c r="O73" s="6">
        <f t="shared" si="7"/>
        <v>1.4009695464028835E-10</v>
      </c>
    </row>
    <row r="74" spans="1:15" x14ac:dyDescent="0.25">
      <c r="A74" s="9">
        <v>75</v>
      </c>
      <c r="B74" s="6">
        <f>'Plan11 (3)'!$G83</f>
        <v>1.5669E-9</v>
      </c>
      <c r="C74" s="6">
        <f>'Plan12 (3)'!$G83</f>
        <v>1.9969E-9</v>
      </c>
      <c r="D74" s="6">
        <f>'Plan13 (3)'!$G83</f>
        <v>1.7202999999999999E-9</v>
      </c>
      <c r="E74" s="6">
        <f>'Plan14 (3)'!$G83</f>
        <v>1.8401000000000001E-9</v>
      </c>
      <c r="F74" s="6">
        <f>'Plan15 (3)'!$G83</f>
        <v>1.9354000000000002E-9</v>
      </c>
      <c r="G74" s="6">
        <f>'Plan16 (3)'!$G83</f>
        <v>1.4713999999999999E-9</v>
      </c>
      <c r="H74" s="6">
        <f>'Plan17 (3)'!$G83</f>
        <v>1.7376000000000001E-9</v>
      </c>
      <c r="I74" s="6">
        <f>'Plan18 (3)'!$G83</f>
        <v>1.8217E-9</v>
      </c>
      <c r="J74" s="6">
        <f>'Plan19 (3)'!$G83</f>
        <v>1.4137E-9</v>
      </c>
      <c r="K74" s="6">
        <f>'Plan20 (3)'!$G83</f>
        <v>1.5541E-9</v>
      </c>
      <c r="L74" s="7">
        <f t="shared" si="6"/>
        <v>1.7058100000000001E-9</v>
      </c>
      <c r="M74" s="6">
        <f t="shared" si="4"/>
        <v>1.5641930134328518E-9</v>
      </c>
      <c r="N74" s="6">
        <f t="shared" si="5"/>
        <v>1.8474269865671485E-9</v>
      </c>
      <c r="O74" s="6">
        <f t="shared" si="7"/>
        <v>1.4161698656714835E-10</v>
      </c>
    </row>
    <row r="75" spans="1:15" x14ac:dyDescent="0.25">
      <c r="A75" s="9">
        <v>77</v>
      </c>
      <c r="B75" s="6">
        <f>'Plan11 (3)'!$G84</f>
        <v>1.5176E-9</v>
      </c>
      <c r="C75" s="6">
        <f>'Plan12 (3)'!$G84</f>
        <v>1.9934000000000002E-9</v>
      </c>
      <c r="D75" s="6">
        <f>'Plan13 (3)'!$G84</f>
        <v>1.7354E-9</v>
      </c>
      <c r="E75" s="6">
        <f>'Plan14 (3)'!$G84</f>
        <v>1.8218000000000001E-9</v>
      </c>
      <c r="F75" s="6">
        <f>'Plan15 (3)'!$G84</f>
        <v>1.9557999999999998E-9</v>
      </c>
      <c r="G75" s="6">
        <f>'Plan16 (3)'!$G84</f>
        <v>1.4576E-9</v>
      </c>
      <c r="H75" s="6">
        <f>'Plan17 (3)'!$G84</f>
        <v>1.7673000000000001E-9</v>
      </c>
      <c r="I75" s="6">
        <f>'Plan18 (3)'!$G84</f>
        <v>1.8621E-9</v>
      </c>
      <c r="J75" s="6">
        <f>'Plan19 (3)'!$G84</f>
        <v>1.4407E-9</v>
      </c>
      <c r="K75" s="6">
        <f>'Plan20 (3)'!$G84</f>
        <v>1.5674E-9</v>
      </c>
      <c r="L75" s="7">
        <f t="shared" si="6"/>
        <v>1.7119099999999997E-9</v>
      </c>
      <c r="M75" s="6">
        <f t="shared" si="4"/>
        <v>1.566114484869964E-9</v>
      </c>
      <c r="N75" s="6">
        <f t="shared" si="5"/>
        <v>1.8577055151300354E-9</v>
      </c>
      <c r="O75" s="6">
        <f t="shared" si="7"/>
        <v>1.4579551513003567E-10</v>
      </c>
    </row>
    <row r="76" spans="1:15" x14ac:dyDescent="0.25">
      <c r="A76" s="10">
        <v>79</v>
      </c>
      <c r="B76" s="6">
        <f>'Plan11 (3)'!$G85</f>
        <v>1.4891E-9</v>
      </c>
      <c r="C76" s="6">
        <f>'Plan12 (3)'!$G85</f>
        <v>1.9773000000000002E-9</v>
      </c>
      <c r="D76" s="6">
        <f>'Plan13 (3)'!$G85</f>
        <v>1.7853E-9</v>
      </c>
      <c r="E76" s="6">
        <f>'Plan14 (3)'!$G85</f>
        <v>1.8110000000000001E-9</v>
      </c>
      <c r="F76" s="6">
        <f>'Plan15 (3)'!$G85</f>
        <v>1.9659E-9</v>
      </c>
      <c r="G76" s="6">
        <f>'Plan16 (3)'!$G85</f>
        <v>1.4390000000000001E-9</v>
      </c>
      <c r="H76" s="6">
        <f>'Plan17 (3)'!$G85</f>
        <v>1.7976000000000001E-9</v>
      </c>
      <c r="I76" s="6">
        <f>'Plan18 (3)'!$G85</f>
        <v>1.9048999999999999E-9</v>
      </c>
      <c r="J76" s="6">
        <f>'Plan19 (3)'!$G85</f>
        <v>1.4468E-9</v>
      </c>
      <c r="K76" s="6">
        <f>'Plan20 (3)'!$G85</f>
        <v>1.5741E-9</v>
      </c>
      <c r="L76" s="7">
        <f t="shared" si="6"/>
        <v>1.7191000000000002E-9</v>
      </c>
      <c r="M76" s="6">
        <f t="shared" si="4"/>
        <v>1.5668602552465824E-9</v>
      </c>
      <c r="N76" s="6">
        <f t="shared" si="5"/>
        <v>1.8713397447534182E-9</v>
      </c>
      <c r="O76" s="6">
        <f t="shared" si="7"/>
        <v>1.5223974475341778E-10</v>
      </c>
    </row>
    <row r="77" spans="1:15" x14ac:dyDescent="0.25">
      <c r="A77" s="9">
        <v>81</v>
      </c>
      <c r="B77" s="6">
        <f>'Plan11 (3)'!$G86</f>
        <v>1.4559999999999999E-9</v>
      </c>
      <c r="C77" s="6">
        <f>'Plan12 (3)'!$G86</f>
        <v>1.9673E-9</v>
      </c>
      <c r="D77" s="6">
        <f>'Plan13 (3)'!$G86</f>
        <v>1.8094E-9</v>
      </c>
      <c r="E77" s="6">
        <f>'Plan14 (3)'!$G86</f>
        <v>1.8011999999999999E-9</v>
      </c>
      <c r="F77" s="6">
        <f>'Plan15 (3)'!$G86</f>
        <v>1.9894000000000002E-9</v>
      </c>
      <c r="G77" s="6">
        <f>'Plan16 (3)'!$G86</f>
        <v>1.4369999999999999E-9</v>
      </c>
      <c r="H77" s="6">
        <f>'Plan17 (3)'!$G86</f>
        <v>1.8191000000000001E-9</v>
      </c>
      <c r="I77" s="6">
        <f>'Plan18 (3)'!$G86</f>
        <v>1.9443E-9</v>
      </c>
      <c r="J77" s="6">
        <f>'Plan19 (3)'!$G86</f>
        <v>1.4620999999999999E-9</v>
      </c>
      <c r="K77" s="6">
        <f>'Plan20 (3)'!$G86</f>
        <v>1.5820999999999999E-9</v>
      </c>
      <c r="L77" s="7">
        <f t="shared" si="6"/>
        <v>1.72679E-9</v>
      </c>
      <c r="M77" s="6">
        <f t="shared" si="4"/>
        <v>1.5680259702231041E-9</v>
      </c>
      <c r="N77" s="6">
        <f t="shared" si="5"/>
        <v>1.8855540297768957E-9</v>
      </c>
      <c r="O77" s="6">
        <f t="shared" si="7"/>
        <v>1.5876402977689583E-10</v>
      </c>
    </row>
    <row r="78" spans="1:15" x14ac:dyDescent="0.25">
      <c r="A78" s="9">
        <v>83</v>
      </c>
      <c r="B78" s="6">
        <f>'Plan11 (3)'!$G87</f>
        <v>1.4294E-9</v>
      </c>
      <c r="C78" s="6">
        <f>'Plan12 (3)'!$G87</f>
        <v>1.9502000000000002E-9</v>
      </c>
      <c r="D78" s="6">
        <f>'Plan13 (3)'!$G87</f>
        <v>1.8529999999999999E-9</v>
      </c>
      <c r="E78" s="6">
        <f>'Plan14 (3)'!$G87</f>
        <v>1.7851E-9</v>
      </c>
      <c r="F78" s="6">
        <f>'Plan15 (3)'!$G87</f>
        <v>1.9968E-9</v>
      </c>
      <c r="G78" s="6">
        <f>'Plan16 (3)'!$G87</f>
        <v>1.4289000000000001E-9</v>
      </c>
      <c r="H78" s="6">
        <f>'Plan17 (3)'!$G87</f>
        <v>1.8300999999999999E-9</v>
      </c>
      <c r="I78" s="6">
        <f>'Plan18 (3)'!$G87</f>
        <v>1.9981E-9</v>
      </c>
      <c r="J78" s="6">
        <f>'Plan19 (3)'!$G87</f>
        <v>1.4812E-9</v>
      </c>
      <c r="K78" s="6">
        <f>'Plan20 (3)'!$G87</f>
        <v>1.5879000000000001E-9</v>
      </c>
      <c r="L78" s="7">
        <f t="shared" si="6"/>
        <v>1.73407E-9</v>
      </c>
      <c r="M78" s="6">
        <f t="shared" si="4"/>
        <v>1.5684043848080747E-9</v>
      </c>
      <c r="N78" s="6">
        <f t="shared" si="5"/>
        <v>1.8997356151919252E-9</v>
      </c>
      <c r="O78" s="6">
        <f t="shared" si="7"/>
        <v>1.6566561519192523E-10</v>
      </c>
    </row>
    <row r="79" spans="1:15" x14ac:dyDescent="0.25">
      <c r="A79" s="9">
        <v>85</v>
      </c>
      <c r="B79" s="6">
        <f>'Plan11 (3)'!$G88</f>
        <v>1.4019000000000001E-9</v>
      </c>
      <c r="C79" s="6">
        <f>'Plan12 (3)'!$G88</f>
        <v>1.9260000000000002E-9</v>
      </c>
      <c r="D79" s="6">
        <f>'Plan13 (3)'!$G88</f>
        <v>1.8802999999999998E-9</v>
      </c>
      <c r="E79" s="6">
        <f>'Plan14 (3)'!$G88</f>
        <v>1.7812E-9</v>
      </c>
      <c r="F79" s="6">
        <f>'Plan15 (3)'!$G88</f>
        <v>2.0113999999999999E-9</v>
      </c>
      <c r="G79" s="6">
        <f>'Plan16 (3)'!$G88</f>
        <v>1.4281000000000001E-9</v>
      </c>
      <c r="H79" s="6">
        <f>'Plan17 (3)'!$G88</f>
        <v>1.8482000000000001E-9</v>
      </c>
      <c r="I79" s="6">
        <f>'Plan18 (3)'!$G88</f>
        <v>2.0395999999999999E-9</v>
      </c>
      <c r="J79" s="6">
        <f>'Plan19 (3)'!$G88</f>
        <v>1.4969999999999999E-9</v>
      </c>
      <c r="K79" s="6">
        <f>'Plan20 (3)'!$G88</f>
        <v>1.6027000000000001E-9</v>
      </c>
      <c r="L79" s="7">
        <f t="shared" si="6"/>
        <v>1.7416400000000004E-9</v>
      </c>
      <c r="M79" s="6">
        <f t="shared" si="4"/>
        <v>1.5695954654120648E-9</v>
      </c>
      <c r="N79" s="6">
        <f t="shared" si="5"/>
        <v>1.9136845345879362E-9</v>
      </c>
      <c r="O79" s="6">
        <f t="shared" si="7"/>
        <v>1.7204453458793566E-10</v>
      </c>
    </row>
    <row r="80" spans="1:15" x14ac:dyDescent="0.25">
      <c r="A80" s="9">
        <v>87</v>
      </c>
      <c r="B80" s="6">
        <f>'Plan11 (3)'!$G89</f>
        <v>1.3551E-9</v>
      </c>
      <c r="C80" s="6">
        <f>'Plan12 (3)'!$G89</f>
        <v>1.9025E-9</v>
      </c>
      <c r="D80" s="6">
        <f>'Plan13 (3)'!$G89</f>
        <v>1.9105E-9</v>
      </c>
      <c r="E80" s="6">
        <f>'Plan14 (3)'!$G89</f>
        <v>1.7546999999999999E-9</v>
      </c>
      <c r="F80" s="6">
        <f>'Plan15 (3)'!$G89</f>
        <v>2.0168999999999999E-9</v>
      </c>
      <c r="G80" s="6">
        <f>'Plan16 (3)'!$G89</f>
        <v>1.4298E-9</v>
      </c>
      <c r="H80" s="6">
        <f>'Plan17 (3)'!$G89</f>
        <v>1.8579E-9</v>
      </c>
      <c r="I80" s="6">
        <f>'Plan18 (3)'!$G89</f>
        <v>2.0942000000000001E-9</v>
      </c>
      <c r="J80" s="6">
        <f>'Plan19 (3)'!$G89</f>
        <v>1.5222E-9</v>
      </c>
      <c r="K80" s="6">
        <f>'Plan20 (3)'!$G89</f>
        <v>1.6229000000000001E-9</v>
      </c>
      <c r="L80" s="7">
        <f t="shared" si="6"/>
        <v>1.7466699999999997E-9</v>
      </c>
      <c r="M80" s="6">
        <f t="shared" si="4"/>
        <v>1.5655716914179913E-9</v>
      </c>
      <c r="N80" s="6">
        <f t="shared" si="5"/>
        <v>1.9277683085820081E-9</v>
      </c>
      <c r="O80" s="6">
        <f t="shared" si="7"/>
        <v>1.8109830858200832E-10</v>
      </c>
    </row>
    <row r="81" spans="1:15" x14ac:dyDescent="0.25">
      <c r="A81" s="10">
        <v>89</v>
      </c>
      <c r="B81" s="6">
        <f>'Plan11 (3)'!$G90</f>
        <v>1.3256000000000001E-9</v>
      </c>
      <c r="C81" s="6">
        <f>'Plan12 (3)'!$G90</f>
        <v>1.8630999999999999E-9</v>
      </c>
      <c r="D81" s="6">
        <f>'Plan13 (3)'!$G90</f>
        <v>1.9384999999999999E-9</v>
      </c>
      <c r="E81" s="6">
        <f>'Plan14 (3)'!$G90</f>
        <v>1.7509E-9</v>
      </c>
      <c r="F81" s="6">
        <f>'Plan15 (3)'!$G90</f>
        <v>2.024E-9</v>
      </c>
      <c r="G81" s="6">
        <f>'Plan16 (3)'!$G90</f>
        <v>1.4268000000000001E-9</v>
      </c>
      <c r="H81" s="6">
        <f>'Plan17 (3)'!$G90</f>
        <v>1.8648E-9</v>
      </c>
      <c r="I81" s="6">
        <f>'Plan18 (3)'!$G90</f>
        <v>2.1286999999999999E-9</v>
      </c>
      <c r="J81" s="6">
        <f>'Plan19 (3)'!$G90</f>
        <v>1.5368999999999999E-9</v>
      </c>
      <c r="K81" s="6">
        <f>'Plan20 (3)'!$G90</f>
        <v>1.6422E-9</v>
      </c>
      <c r="L81" s="7">
        <f t="shared" si="6"/>
        <v>1.75015E-9</v>
      </c>
      <c r="M81" s="6">
        <f t="shared" si="4"/>
        <v>1.5621504751719925E-9</v>
      </c>
      <c r="N81" s="6">
        <f t="shared" si="5"/>
        <v>1.9381495248280075E-9</v>
      </c>
      <c r="O81" s="6">
        <f t="shared" si="7"/>
        <v>1.8799952482800736E-10</v>
      </c>
    </row>
    <row r="82" spans="1:15" x14ac:dyDescent="0.25">
      <c r="A82" s="9">
        <v>91</v>
      </c>
      <c r="B82" s="6">
        <f>'Plan11 (3)'!$G91</f>
        <v>1.2878E-9</v>
      </c>
      <c r="C82" s="6">
        <f>'Plan12 (3)'!$G91</f>
        <v>1.8247999999999999E-9</v>
      </c>
      <c r="D82" s="6">
        <f>'Plan13 (3)'!$G91</f>
        <v>1.955E-9</v>
      </c>
      <c r="E82" s="6">
        <f>'Plan14 (3)'!$G91</f>
        <v>1.7467E-9</v>
      </c>
      <c r="F82" s="6">
        <f>'Plan15 (3)'!$G91</f>
        <v>2.0411999999999999E-9</v>
      </c>
      <c r="G82" s="6">
        <f>'Plan16 (3)'!$G91</f>
        <v>1.4321E-9</v>
      </c>
      <c r="H82" s="6">
        <f>'Plan17 (3)'!$G91</f>
        <v>1.8708000000000002E-9</v>
      </c>
      <c r="I82" s="6">
        <f>'Plan18 (3)'!$G91</f>
        <v>2.1638999999999999E-9</v>
      </c>
      <c r="J82" s="6">
        <f>'Plan19 (3)'!$G91</f>
        <v>1.5529000000000001E-9</v>
      </c>
      <c r="K82" s="6">
        <f>'Plan20 (3)'!$G91</f>
        <v>1.661E-9</v>
      </c>
      <c r="L82" s="7">
        <f t="shared" si="6"/>
        <v>1.75362E-9</v>
      </c>
      <c r="M82" s="6">
        <f t="shared" si="4"/>
        <v>1.5570360932717313E-9</v>
      </c>
      <c r="N82" s="6">
        <f t="shared" si="5"/>
        <v>1.9502039067282686E-9</v>
      </c>
      <c r="O82" s="6">
        <f t="shared" si="7"/>
        <v>1.9658390672826871E-10</v>
      </c>
    </row>
    <row r="83" spans="1:15" x14ac:dyDescent="0.25">
      <c r="A83" s="9">
        <v>93</v>
      </c>
      <c r="B83" s="6">
        <f>'Plan11 (3)'!$G92</f>
        <v>1.258E-9</v>
      </c>
      <c r="C83" s="6">
        <f>'Plan12 (3)'!$G92</f>
        <v>1.7767999999999999E-9</v>
      </c>
      <c r="D83" s="6">
        <f>'Plan13 (3)'!$G92</f>
        <v>1.9843999999999999E-9</v>
      </c>
      <c r="E83" s="6">
        <f>'Plan14 (3)'!$G92</f>
        <v>1.7454E-9</v>
      </c>
      <c r="F83" s="6">
        <f>'Plan15 (3)'!$G92</f>
        <v>2.0383999999999999E-9</v>
      </c>
      <c r="G83" s="6">
        <f>'Plan16 (3)'!$G92</f>
        <v>1.4363999999999999E-9</v>
      </c>
      <c r="H83" s="6">
        <f>'Plan17 (3)'!$G92</f>
        <v>1.8792999999999999E-9</v>
      </c>
      <c r="I83" s="6">
        <f>'Plan18 (3)'!$G92</f>
        <v>2.2077000000000001E-9</v>
      </c>
      <c r="J83" s="6">
        <f>'Plan19 (3)'!$G92</f>
        <v>1.5707E-9</v>
      </c>
      <c r="K83" s="6">
        <f>'Plan20 (3)'!$G92</f>
        <v>1.6652E-9</v>
      </c>
      <c r="L83" s="7">
        <f t="shared" si="6"/>
        <v>1.7562299999999998E-9</v>
      </c>
      <c r="M83" s="6">
        <f t="shared" si="4"/>
        <v>1.5504931298448238E-9</v>
      </c>
      <c r="N83" s="6">
        <f t="shared" si="5"/>
        <v>1.9619668701551761E-9</v>
      </c>
      <c r="O83" s="6">
        <f t="shared" si="7"/>
        <v>2.057368701551761E-10</v>
      </c>
    </row>
    <row r="84" spans="1:15" x14ac:dyDescent="0.25">
      <c r="A84" s="9">
        <v>95</v>
      </c>
      <c r="B84" s="6">
        <f>'Plan11 (3)'!$G93</f>
        <v>1.2306000000000001E-9</v>
      </c>
      <c r="C84" s="6">
        <f>'Plan12 (3)'!$G93</f>
        <v>1.7484000000000001E-9</v>
      </c>
      <c r="D84" s="6">
        <f>'Plan13 (3)'!$G93</f>
        <v>1.9990999999999998E-9</v>
      </c>
      <c r="E84" s="6">
        <f>'Plan14 (3)'!$G93</f>
        <v>1.7569E-9</v>
      </c>
      <c r="F84" s="6">
        <f>'Plan15 (3)'!$G93</f>
        <v>2.0424999999999999E-9</v>
      </c>
      <c r="G84" s="6">
        <f>'Plan16 (3)'!$G93</f>
        <v>1.4475E-9</v>
      </c>
      <c r="H84" s="6">
        <f>'Plan17 (3)'!$G93</f>
        <v>1.8894000000000001E-9</v>
      </c>
      <c r="I84" s="6">
        <f>'Plan18 (3)'!$G93</f>
        <v>2.2492E-9</v>
      </c>
      <c r="J84" s="6">
        <f>'Plan19 (3)'!$G93</f>
        <v>1.5851E-9</v>
      </c>
      <c r="K84" s="6">
        <f>'Plan20 (3)'!$G93</f>
        <v>1.6816000000000001E-9</v>
      </c>
      <c r="L84" s="7">
        <f t="shared" si="6"/>
        <v>1.7630299999999999E-9</v>
      </c>
      <c r="M84" s="6">
        <f t="shared" si="4"/>
        <v>1.5487217844269119E-9</v>
      </c>
      <c r="N84" s="6">
        <f t="shared" si="5"/>
        <v>1.9773382155730878E-9</v>
      </c>
      <c r="O84" s="6">
        <f t="shared" si="7"/>
        <v>2.1430821557308788E-10</v>
      </c>
    </row>
    <row r="85" spans="1:15" x14ac:dyDescent="0.25">
      <c r="A85" s="9">
        <v>97</v>
      </c>
      <c r="B85" s="6">
        <f>'Plan11 (3)'!$G94</f>
        <v>1.1963999999999999E-9</v>
      </c>
      <c r="C85" s="6">
        <f>'Plan12 (3)'!$G94</f>
        <v>1.734E-9</v>
      </c>
      <c r="D85" s="6">
        <f>'Plan13 (3)'!$G94</f>
        <v>2.0212E-9</v>
      </c>
      <c r="E85" s="6">
        <f>'Plan14 (3)'!$G94</f>
        <v>1.7592000000000001E-9</v>
      </c>
      <c r="F85" s="6">
        <f>'Plan15 (3)'!$G94</f>
        <v>2.0534E-9</v>
      </c>
      <c r="G85" s="6">
        <f>'Plan16 (3)'!$G94</f>
        <v>1.4636E-9</v>
      </c>
      <c r="H85" s="6">
        <f>'Plan17 (3)'!$G94</f>
        <v>1.9100999999999998E-9</v>
      </c>
      <c r="I85" s="6">
        <f>'Plan18 (3)'!$G94</f>
        <v>2.2953000000000001E-9</v>
      </c>
      <c r="J85" s="6">
        <f>'Plan19 (3)'!$G94</f>
        <v>1.6075000000000001E-9</v>
      </c>
      <c r="K85" s="6">
        <f>'Plan20 (3)'!$G94</f>
        <v>1.6929E-9</v>
      </c>
      <c r="L85" s="7">
        <f t="shared" si="6"/>
        <v>1.77336E-9</v>
      </c>
      <c r="M85" s="6">
        <f t="shared" si="4"/>
        <v>1.5477063206316566E-9</v>
      </c>
      <c r="N85" s="6">
        <f t="shared" si="5"/>
        <v>1.9990136793683433E-9</v>
      </c>
      <c r="O85" s="6">
        <f t="shared" si="7"/>
        <v>2.256536793683434E-10</v>
      </c>
    </row>
    <row r="86" spans="1:15" x14ac:dyDescent="0.25">
      <c r="A86" s="10">
        <v>99</v>
      </c>
      <c r="B86" s="6">
        <f>'Plan11 (3)'!$G95</f>
        <v>1.186E-9</v>
      </c>
      <c r="C86" s="6">
        <f>'Plan12 (3)'!$G95</f>
        <v>1.7275999999999999E-9</v>
      </c>
      <c r="D86" s="6">
        <f>'Plan13 (3)'!$G95</f>
        <v>2.0387E-9</v>
      </c>
      <c r="E86" s="6">
        <f>'Plan14 (3)'!$G95</f>
        <v>1.7724E-9</v>
      </c>
      <c r="F86" s="6">
        <f>'Plan15 (3)'!$G95</f>
        <v>2.0625999999999999E-9</v>
      </c>
      <c r="G86" s="6">
        <f>'Plan16 (3)'!$G95</f>
        <v>1.4773000000000001E-9</v>
      </c>
      <c r="H86" s="6">
        <f>'Plan17 (3)'!$G95</f>
        <v>1.9313000000000001E-9</v>
      </c>
      <c r="I86" s="6">
        <f>'Plan18 (3)'!$G95</f>
        <v>2.3330000000000001E-9</v>
      </c>
      <c r="J86" s="6">
        <f>'Plan19 (3)'!$G95</f>
        <v>1.6234E-9</v>
      </c>
      <c r="K86" s="6">
        <f>'Plan20 (3)'!$G95</f>
        <v>1.7116E-9</v>
      </c>
      <c r="L86" s="7">
        <f t="shared" si="6"/>
        <v>1.7863900000000001E-9</v>
      </c>
      <c r="M86" s="6">
        <f>L86-O86</f>
        <v>1.5537859517506579E-9</v>
      </c>
      <c r="N86" s="6">
        <f t="shared" si="5"/>
        <v>2.0189940482493425E-9</v>
      </c>
      <c r="O86" s="6">
        <f t="shared" si="7"/>
        <v>2.3260404824934224E-10</v>
      </c>
    </row>
    <row r="87" spans="1:15" x14ac:dyDescent="0.25">
      <c r="A87" s="9">
        <v>101</v>
      </c>
      <c r="B87" s="6">
        <f>'Plan11 (3)'!$G96</f>
        <v>1.1707999999999999E-9</v>
      </c>
      <c r="C87" s="6">
        <f>'Plan12 (3)'!$G96</f>
        <v>1.7231E-9</v>
      </c>
      <c r="D87" s="6">
        <f>'Plan13 (3)'!$G96</f>
        <v>2.0598999999999999E-9</v>
      </c>
      <c r="E87" s="6">
        <f>'Plan14 (3)'!$G96</f>
        <v>1.7876999999999999E-9</v>
      </c>
      <c r="F87" s="6">
        <f>'Plan15 (3)'!$G96</f>
        <v>2.0759999999999999E-9</v>
      </c>
      <c r="G87" s="6">
        <f>'Plan16 (3)'!$G96</f>
        <v>1.5002000000000001E-9</v>
      </c>
      <c r="H87" s="6">
        <f>'Plan17 (3)'!$G96</f>
        <v>1.9659E-9</v>
      </c>
      <c r="I87" s="6">
        <f>'Plan18 (3)'!$G96</f>
        <v>2.3724999999999998E-9</v>
      </c>
      <c r="J87" s="6">
        <f>'Plan19 (3)'!$G96</f>
        <v>1.6323E-9</v>
      </c>
      <c r="K87" s="6">
        <f>'Plan20 (3)'!$G96</f>
        <v>1.7292E-9</v>
      </c>
      <c r="L87" s="7">
        <f t="shared" si="6"/>
        <v>1.8017599999999998E-9</v>
      </c>
      <c r="M87" s="6">
        <f t="shared" si="4"/>
        <v>1.5604696450273183E-9</v>
      </c>
      <c r="N87" s="6">
        <f t="shared" si="5"/>
        <v>2.043050354972681E-9</v>
      </c>
      <c r="O87" s="6">
        <f t="shared" si="7"/>
        <v>2.4129035497268141E-10</v>
      </c>
    </row>
    <row r="88" spans="1:15" x14ac:dyDescent="0.25">
      <c r="A88" s="9">
        <v>103</v>
      </c>
      <c r="B88" s="6">
        <f>'Plan11 (3)'!$G97</f>
        <v>1.1673999999999999E-9</v>
      </c>
      <c r="C88" s="6">
        <f>'Plan12 (3)'!$G97</f>
        <v>1.7233E-9</v>
      </c>
      <c r="D88" s="6">
        <f>'Plan13 (3)'!$G97</f>
        <v>2.0851000000000002E-9</v>
      </c>
      <c r="E88" s="6">
        <f>'Plan14 (3)'!$G97</f>
        <v>1.8033E-9</v>
      </c>
      <c r="F88" s="6">
        <f>'Plan15 (3)'!$G97</f>
        <v>2.0798000000000002E-9</v>
      </c>
      <c r="G88" s="6">
        <f>'Plan16 (3)'!$G97</f>
        <v>1.5236E-9</v>
      </c>
      <c r="H88" s="6">
        <f>'Plan17 (3)'!$G97</f>
        <v>2.0019999999999999E-9</v>
      </c>
      <c r="I88" s="6">
        <f>'Plan18 (3)'!$G97</f>
        <v>2.4011999999999999E-9</v>
      </c>
      <c r="J88" s="6">
        <f>'Plan19 (3)'!$G97</f>
        <v>1.6526000000000001E-9</v>
      </c>
      <c r="K88" s="6">
        <f>'Plan20 (3)'!$G97</f>
        <v>1.7444000000000001E-9</v>
      </c>
      <c r="L88" s="7">
        <f t="shared" si="6"/>
        <v>1.8182700000000002E-9</v>
      </c>
      <c r="M88" s="6">
        <f t="shared" si="4"/>
        <v>1.5721011492230523E-9</v>
      </c>
      <c r="N88" s="6">
        <f t="shared" si="5"/>
        <v>2.064438850776948E-9</v>
      </c>
      <c r="O88" s="6">
        <f t="shared" si="7"/>
        <v>2.4616885077694783E-10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U88"/>
  <sheetViews>
    <sheetView zoomScaleNormal="100" workbookViewId="0"/>
  </sheetViews>
  <sheetFormatPr defaultRowHeight="15" x14ac:dyDescent="0.25"/>
  <cols>
    <col min="1" max="1" width="14.85546875" style="5" customWidth="1"/>
    <col min="2" max="10" width="8.42578125" style="5" bestFit="1" customWidth="1"/>
    <col min="11" max="11" width="9.42578125" style="5" bestFit="1" customWidth="1"/>
    <col min="12" max="14" width="9.140625" style="5"/>
    <col min="15" max="15" width="20.85546875" style="5" bestFit="1" customWidth="1"/>
    <col min="16" max="16" width="17.140625" style="5" customWidth="1"/>
    <col min="17" max="17" width="9.140625" style="5"/>
    <col min="18" max="18" width="11.85546875" style="5" customWidth="1"/>
    <col min="19" max="19" width="8.28515625" style="5" bestFit="1" customWidth="1"/>
    <col min="20" max="16384" width="9.140625" style="5"/>
  </cols>
  <sheetData>
    <row r="1" spans="1:2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51</v>
      </c>
      <c r="Q1" s="4">
        <f>0.0000000001*12^(-0.5)</f>
        <v>2.8867513459481293E-11</v>
      </c>
      <c r="R1" s="1" t="s">
        <v>52</v>
      </c>
      <c r="S1" s="6">
        <v>1E-10</v>
      </c>
      <c r="T1" s="6"/>
      <c r="U1" s="6"/>
    </row>
    <row r="2" spans="1:21" x14ac:dyDescent="0.25">
      <c r="A2" s="5">
        <v>1</v>
      </c>
      <c r="B2" s="6">
        <f>Plan1!$G11</f>
        <v>1.6009999999999999E-8</v>
      </c>
      <c r="C2" s="6">
        <f>Plan2!$G11</f>
        <v>1.6508000000000001E-8</v>
      </c>
      <c r="D2" s="6">
        <f>Plan3!$G11</f>
        <v>1.7141999999999999E-8</v>
      </c>
      <c r="E2" s="6">
        <f>Plan4!$G11</f>
        <v>1.6641E-8</v>
      </c>
      <c r="F2" s="6">
        <f>Plan5!$G11</f>
        <v>1.6797000000000001E-8</v>
      </c>
      <c r="G2" s="6">
        <f>Plan6!$G11</f>
        <v>2.3044000000000001E-8</v>
      </c>
      <c r="H2" s="6">
        <f>Plan7!$G11</f>
        <v>1.9732999999999999E-8</v>
      </c>
      <c r="I2" s="6">
        <f>Plan8!$G11</f>
        <v>2.3867000000000001E-8</v>
      </c>
      <c r="J2" s="6">
        <f>Plan9!$G11</f>
        <v>2.2904000000000001E-8</v>
      </c>
      <c r="K2" s="6">
        <f>Plan10!$G11</f>
        <v>2.1579999999999999E-8</v>
      </c>
      <c r="L2" s="7">
        <f>AVERAGE(B2:K2)</f>
        <v>1.9422599999999999E-8</v>
      </c>
      <c r="M2" s="6">
        <f t="shared" ref="M2:M65" si="0">L2-O2</f>
        <v>1.7164077268051241E-8</v>
      </c>
      <c r="N2" s="6">
        <f t="shared" ref="N2:N65" si="1">L2+O2</f>
        <v>2.1681122731948758E-8</v>
      </c>
      <c r="O2" s="6">
        <f>_xlfn.CONFIDENCE.T(0.05,_xlfn.STDEV.S(B2:K2),COUNTA(B2:K2))</f>
        <v>2.2585227319487574E-9</v>
      </c>
    </row>
    <row r="3" spans="1:21" x14ac:dyDescent="0.25">
      <c r="A3" s="5">
        <v>2</v>
      </c>
      <c r="B3" s="6">
        <f>Plan1!$G12</f>
        <v>8.2831999999999997E-9</v>
      </c>
      <c r="C3" s="6">
        <f>Plan2!$G12</f>
        <v>8.4059000000000005E-9</v>
      </c>
      <c r="D3" s="6">
        <f>Plan3!$G12</f>
        <v>8.1706000000000007E-9</v>
      </c>
      <c r="E3" s="6">
        <f>Plan4!$G12</f>
        <v>7.5410999999999999E-9</v>
      </c>
      <c r="F3" s="6">
        <f>Plan5!$G12</f>
        <v>7.9531999999999994E-9</v>
      </c>
      <c r="G3" s="6">
        <f>Plan6!$G12</f>
        <v>1.3831999999999999E-8</v>
      </c>
      <c r="H3" s="6">
        <f>Plan7!$G12</f>
        <v>1.6559E-8</v>
      </c>
      <c r="I3" s="6">
        <f>Plan8!$G12</f>
        <v>1.1895E-8</v>
      </c>
      <c r="J3" s="6">
        <f>Plan9!$G12</f>
        <v>1.3388000000000001E-8</v>
      </c>
      <c r="K3" s="6">
        <f>Plan10!$G12</f>
        <v>1.4535000000000001E-8</v>
      </c>
      <c r="L3" s="7">
        <f t="shared" ref="L3:L66" si="2">AVERAGE(B3:K3)</f>
        <v>1.1056300000000001E-8</v>
      </c>
      <c r="M3" s="6">
        <f t="shared" si="0"/>
        <v>8.6568768308332051E-9</v>
      </c>
      <c r="N3" s="6">
        <f t="shared" si="1"/>
        <v>1.3455723169166797E-8</v>
      </c>
      <c r="O3" s="6">
        <f t="shared" ref="O3:O66" si="3">_xlfn.CONFIDENCE.T(0.05,_xlfn.STDEV.S(B3:K3),COUNTA(B3:K3))</f>
        <v>2.3994231691667961E-9</v>
      </c>
    </row>
    <row r="4" spans="1:21" x14ac:dyDescent="0.25">
      <c r="A4" s="5">
        <v>3</v>
      </c>
      <c r="B4" s="6">
        <f>Plan1!$G13</f>
        <v>5.0961999999999998E-9</v>
      </c>
      <c r="C4" s="6">
        <f>Plan2!$G13</f>
        <v>4.4392000000000001E-9</v>
      </c>
      <c r="D4" s="6">
        <f>Plan3!$G13</f>
        <v>4.3679000000000002E-9</v>
      </c>
      <c r="E4" s="6">
        <f>Plan4!$G13</f>
        <v>3.8305E-9</v>
      </c>
      <c r="F4" s="6">
        <f>Plan5!$G13</f>
        <v>4.3402000000000004E-9</v>
      </c>
      <c r="G4" s="6">
        <f>Plan6!$G13</f>
        <v>1.0842E-8</v>
      </c>
      <c r="H4" s="6">
        <f>Plan7!$G13</f>
        <v>1.4761000000000001E-8</v>
      </c>
      <c r="I4" s="6">
        <f>Plan8!$G13</f>
        <v>9.0286999999999996E-9</v>
      </c>
      <c r="J4" s="6">
        <f>Plan9!$G13</f>
        <v>1.0312E-8</v>
      </c>
      <c r="K4" s="6">
        <f>Plan10!$G13</f>
        <v>1.1123E-8</v>
      </c>
      <c r="L4" s="7">
        <f t="shared" si="2"/>
        <v>7.8140699999999988E-9</v>
      </c>
      <c r="M4" s="6">
        <f t="shared" si="0"/>
        <v>5.046775303045473E-9</v>
      </c>
      <c r="N4" s="6">
        <f t="shared" si="1"/>
        <v>1.0581364696954526E-8</v>
      </c>
      <c r="O4" s="6">
        <f t="shared" si="3"/>
        <v>2.7672946969545258E-9</v>
      </c>
    </row>
    <row r="5" spans="1:21" x14ac:dyDescent="0.25">
      <c r="A5" s="5">
        <v>4</v>
      </c>
      <c r="B5" s="6">
        <f>Plan1!$G14</f>
        <v>4.56E-9</v>
      </c>
      <c r="C5" s="6">
        <f>Plan2!$G14</f>
        <v>4.4884000000000003E-9</v>
      </c>
      <c r="D5" s="6">
        <f>Plan3!$G14</f>
        <v>4.2653000000000001E-9</v>
      </c>
      <c r="E5" s="6">
        <f>Plan4!$G14</f>
        <v>4.3083999999999997E-9</v>
      </c>
      <c r="F5" s="6">
        <f>Plan5!$G14</f>
        <v>4.49E-9</v>
      </c>
      <c r="G5" s="6">
        <f>Plan6!$G14</f>
        <v>8.2320000000000005E-9</v>
      </c>
      <c r="H5" s="6">
        <f>Plan7!$G14</f>
        <v>1.2644000000000001E-8</v>
      </c>
      <c r="I5" s="6">
        <f>Plan8!$G14</f>
        <v>6.4825999999999999E-9</v>
      </c>
      <c r="J5" s="6">
        <f>Plan9!$G14</f>
        <v>8.1732000000000007E-9</v>
      </c>
      <c r="K5" s="6">
        <f>Plan10!$G14</f>
        <v>8.5262000000000006E-9</v>
      </c>
      <c r="L5" s="7">
        <f t="shared" si="2"/>
        <v>6.6170100000000005E-9</v>
      </c>
      <c r="M5" s="6">
        <f t="shared" si="0"/>
        <v>4.6339201259282572E-9</v>
      </c>
      <c r="N5" s="6">
        <f t="shared" si="1"/>
        <v>8.6000998740717438E-9</v>
      </c>
      <c r="O5" s="6">
        <f t="shared" si="3"/>
        <v>1.9830898740717433E-9</v>
      </c>
    </row>
    <row r="6" spans="1:21" x14ac:dyDescent="0.25">
      <c r="A6" s="5">
        <v>5</v>
      </c>
      <c r="B6" s="6">
        <f>Plan1!$G15</f>
        <v>4.4275000000000003E-9</v>
      </c>
      <c r="C6" s="6">
        <f>Plan2!$G15</f>
        <v>4.0132999999999998E-9</v>
      </c>
      <c r="D6" s="6">
        <f>Plan3!$G15</f>
        <v>3.6637000000000001E-9</v>
      </c>
      <c r="E6" s="6">
        <f>Plan4!$G15</f>
        <v>3.4793000000000002E-9</v>
      </c>
      <c r="F6" s="6">
        <f>Plan5!$G15</f>
        <v>3.8013000000000001E-9</v>
      </c>
      <c r="G6" s="6">
        <f>Plan6!$G15</f>
        <v>6.3601E-9</v>
      </c>
      <c r="H6" s="6">
        <f>Plan7!$G15</f>
        <v>1.0878999999999999E-8</v>
      </c>
      <c r="I6" s="6">
        <f>Plan8!$G15</f>
        <v>4.8390000000000004E-9</v>
      </c>
      <c r="J6" s="6">
        <f>Plan9!$G15</f>
        <v>6.0364000000000004E-9</v>
      </c>
      <c r="K6" s="6">
        <f>Plan10!$G15</f>
        <v>6.2028999999999997E-9</v>
      </c>
      <c r="L6" s="7">
        <f t="shared" si="2"/>
        <v>5.3702499999999997E-9</v>
      </c>
      <c r="M6" s="6">
        <f t="shared" si="0"/>
        <v>3.7809136611553493E-9</v>
      </c>
      <c r="N6" s="6">
        <f t="shared" si="1"/>
        <v>6.9595863388446501E-9</v>
      </c>
      <c r="O6" s="6">
        <f t="shared" si="3"/>
        <v>1.5893363388446504E-9</v>
      </c>
    </row>
    <row r="7" spans="1:21" x14ac:dyDescent="0.25">
      <c r="A7" s="5">
        <v>6</v>
      </c>
      <c r="B7" s="6">
        <f>Plan1!$G16</f>
        <v>3.2032999999999999E-9</v>
      </c>
      <c r="C7" s="6">
        <f>Plan2!$G16</f>
        <v>3.0916E-9</v>
      </c>
      <c r="D7" s="6">
        <f>Plan3!$G16</f>
        <v>2.9201999999999999E-9</v>
      </c>
      <c r="E7" s="6">
        <f>Plan4!$G16</f>
        <v>2.9735000000000001E-9</v>
      </c>
      <c r="F7" s="6">
        <f>Plan5!$G16</f>
        <v>3.2557999999999999E-9</v>
      </c>
      <c r="G7" s="6">
        <f>Plan6!$G16</f>
        <v>5.1674999999999998E-9</v>
      </c>
      <c r="H7" s="6">
        <f>Plan7!$G16</f>
        <v>9.3539000000000001E-9</v>
      </c>
      <c r="I7" s="6">
        <f>Plan8!$G16</f>
        <v>4.4027000000000001E-9</v>
      </c>
      <c r="J7" s="6">
        <f>Plan9!$G16</f>
        <v>4.8285E-9</v>
      </c>
      <c r="K7" s="6">
        <f>Plan10!$G16</f>
        <v>4.8900999999999999E-9</v>
      </c>
      <c r="L7" s="7">
        <f t="shared" si="2"/>
        <v>4.4087099999999993E-9</v>
      </c>
      <c r="M7" s="6">
        <f t="shared" si="0"/>
        <v>3.0135878394631251E-9</v>
      </c>
      <c r="N7" s="6">
        <f t="shared" si="1"/>
        <v>5.8038321605368736E-9</v>
      </c>
      <c r="O7" s="6">
        <f t="shared" si="3"/>
        <v>1.3951221605368745E-9</v>
      </c>
    </row>
    <row r="8" spans="1:21" x14ac:dyDescent="0.25">
      <c r="A8" s="5">
        <v>7</v>
      </c>
      <c r="B8" s="6">
        <f>Plan1!$G17</f>
        <v>2.7762E-9</v>
      </c>
      <c r="C8" s="6">
        <f>Plan2!$G17</f>
        <v>2.4751999999999999E-9</v>
      </c>
      <c r="D8" s="6">
        <f>Plan3!$G17</f>
        <v>2.2150999999999999E-9</v>
      </c>
      <c r="E8" s="6">
        <f>Plan4!$G17</f>
        <v>2.4694000000000002E-9</v>
      </c>
      <c r="F8" s="6">
        <f>Plan5!$G17</f>
        <v>2.5420000000000001E-9</v>
      </c>
      <c r="G8" s="6">
        <f>Plan6!$G17</f>
        <v>4.1491999999999997E-9</v>
      </c>
      <c r="H8" s="6">
        <f>Plan7!$G17</f>
        <v>7.9594999999999992E-9</v>
      </c>
      <c r="I8" s="6">
        <f>Plan8!$G17</f>
        <v>3.9823999999999998E-9</v>
      </c>
      <c r="J8" s="6">
        <f>Plan9!$G17</f>
        <v>4.2802999999999998E-9</v>
      </c>
      <c r="K8" s="6">
        <f>Plan10!$G17</f>
        <v>4.1052000000000003E-9</v>
      </c>
      <c r="L8" s="7">
        <f t="shared" si="2"/>
        <v>3.6954500000000001E-9</v>
      </c>
      <c r="M8" s="6">
        <f t="shared" si="0"/>
        <v>2.4716666808942671E-9</v>
      </c>
      <c r="N8" s="6">
        <f t="shared" si="1"/>
        <v>4.9192333191057331E-9</v>
      </c>
      <c r="O8" s="6">
        <f t="shared" si="3"/>
        <v>1.2237833191057332E-9</v>
      </c>
    </row>
    <row r="9" spans="1:21" x14ac:dyDescent="0.25">
      <c r="A9" s="5">
        <v>8</v>
      </c>
      <c r="B9" s="6">
        <f>Plan1!$G18</f>
        <v>2.8672000000000002E-9</v>
      </c>
      <c r="C9" s="6">
        <f>Plan2!$G18</f>
        <v>2.7081000000000002E-9</v>
      </c>
      <c r="D9" s="6">
        <f>Plan3!$G18</f>
        <v>2.5097000000000001E-9</v>
      </c>
      <c r="E9" s="6">
        <f>Plan4!$G18</f>
        <v>2.5941E-9</v>
      </c>
      <c r="F9" s="6">
        <f>Plan5!$G18</f>
        <v>2.6949999999999999E-9</v>
      </c>
      <c r="G9" s="6">
        <f>Plan6!$G18</f>
        <v>3.7561000000000003E-9</v>
      </c>
      <c r="H9" s="6">
        <f>Plan7!$G18</f>
        <v>6.7729000000000001E-9</v>
      </c>
      <c r="I9" s="6">
        <f>Plan8!$G18</f>
        <v>3.5169000000000001E-9</v>
      </c>
      <c r="J9" s="6">
        <f>Plan9!$G18</f>
        <v>4.0305999999999997E-9</v>
      </c>
      <c r="K9" s="6">
        <f>Plan10!$G18</f>
        <v>3.6834999999999999E-9</v>
      </c>
      <c r="L9" s="7">
        <f t="shared" si="2"/>
        <v>3.5134100000000002E-9</v>
      </c>
      <c r="M9" s="6">
        <f t="shared" si="0"/>
        <v>2.603281796780426E-9</v>
      </c>
      <c r="N9" s="6">
        <f t="shared" si="1"/>
        <v>4.4235382032195744E-9</v>
      </c>
      <c r="O9" s="6">
        <f t="shared" si="3"/>
        <v>9.1012820321957418E-10</v>
      </c>
    </row>
    <row r="10" spans="1:21" x14ac:dyDescent="0.25">
      <c r="A10" s="5">
        <v>9</v>
      </c>
      <c r="B10" s="6">
        <f>Plan1!$G19</f>
        <v>2.4292999999999999E-9</v>
      </c>
      <c r="C10" s="6">
        <f>Plan2!$G19</f>
        <v>2.2711000000000001E-9</v>
      </c>
      <c r="D10" s="6">
        <f>Plan3!$G19</f>
        <v>2.0465999999999999E-9</v>
      </c>
      <c r="E10" s="6">
        <f>Plan4!$G19</f>
        <v>2.3787000000000001E-9</v>
      </c>
      <c r="F10" s="6">
        <f>Plan5!$G19</f>
        <v>2.4129999999999998E-9</v>
      </c>
      <c r="G10" s="6">
        <f>Plan6!$G19</f>
        <v>3.4086E-9</v>
      </c>
      <c r="H10" s="6">
        <f>Plan7!$G19</f>
        <v>5.6494E-9</v>
      </c>
      <c r="I10" s="6">
        <f>Plan8!$G19</f>
        <v>3.1801999999999998E-9</v>
      </c>
      <c r="J10" s="6">
        <f>Plan9!$G19</f>
        <v>3.5989000000000001E-9</v>
      </c>
      <c r="K10" s="6">
        <f>Plan10!$G19</f>
        <v>3.4634999999999999E-9</v>
      </c>
      <c r="L10" s="7">
        <f t="shared" si="2"/>
        <v>3.0839299999999997E-9</v>
      </c>
      <c r="M10" s="6">
        <f t="shared" si="0"/>
        <v>2.3216891284347159E-9</v>
      </c>
      <c r="N10" s="6">
        <f t="shared" si="1"/>
        <v>3.8461708715652835E-9</v>
      </c>
      <c r="O10" s="6">
        <f t="shared" si="3"/>
        <v>7.6224087156528369E-10</v>
      </c>
    </row>
    <row r="11" spans="1:21" x14ac:dyDescent="0.25">
      <c r="A11" s="8">
        <v>10</v>
      </c>
      <c r="B11" s="6">
        <f>Plan1!$G20</f>
        <v>2.1540999999999998E-9</v>
      </c>
      <c r="C11" s="6">
        <f>Plan2!$G20</f>
        <v>2.1024000000000001E-9</v>
      </c>
      <c r="D11" s="6">
        <f>Plan3!$G20</f>
        <v>1.8209E-9</v>
      </c>
      <c r="E11" s="6">
        <f>Plan4!$G20</f>
        <v>2.0523E-9</v>
      </c>
      <c r="F11" s="6">
        <f>Plan5!$G20</f>
        <v>1.9723999999999999E-9</v>
      </c>
      <c r="G11" s="6">
        <f>Plan6!$G20</f>
        <v>3.0873999999999999E-9</v>
      </c>
      <c r="H11" s="6">
        <f>Plan7!$G20</f>
        <v>5.0225E-9</v>
      </c>
      <c r="I11" s="6">
        <f>Plan8!$G20</f>
        <v>2.8285999999999999E-9</v>
      </c>
      <c r="J11" s="6">
        <f>Plan9!$G20</f>
        <v>3.3487999999999999E-9</v>
      </c>
      <c r="K11" s="6">
        <f>Plan10!$G20</f>
        <v>3.4338999999999999E-9</v>
      </c>
      <c r="L11" s="7">
        <f t="shared" si="2"/>
        <v>2.7823299999999998E-9</v>
      </c>
      <c r="M11" s="6">
        <f t="shared" si="0"/>
        <v>2.073791232869995E-9</v>
      </c>
      <c r="N11" s="6">
        <f t="shared" si="1"/>
        <v>3.4908687671300047E-9</v>
      </c>
      <c r="O11" s="6">
        <f t="shared" si="3"/>
        <v>7.0853876713000465E-10</v>
      </c>
    </row>
    <row r="12" spans="1:21" x14ac:dyDescent="0.25">
      <c r="A12" s="5">
        <v>11</v>
      </c>
      <c r="B12" s="6">
        <f>Plan1!$G21</f>
        <v>2.1397E-9</v>
      </c>
      <c r="C12" s="6">
        <f>Plan2!$G21</f>
        <v>2.2099E-9</v>
      </c>
      <c r="D12" s="6">
        <f>Plan3!$G21</f>
        <v>1.9408000000000002E-9</v>
      </c>
      <c r="E12" s="6">
        <f>Plan4!$G21</f>
        <v>2.2258999999999999E-9</v>
      </c>
      <c r="F12" s="6">
        <f>Plan5!$G21</f>
        <v>2.1127E-9</v>
      </c>
      <c r="G12" s="6">
        <f>Plan6!$G21</f>
        <v>2.9117999999999998E-9</v>
      </c>
      <c r="H12" s="6">
        <f>Plan7!$G21</f>
        <v>4.4954999999999996E-9</v>
      </c>
      <c r="I12" s="6">
        <f>Plan8!$G21</f>
        <v>2.8316E-9</v>
      </c>
      <c r="J12" s="6">
        <f>Plan9!$G21</f>
        <v>3.0594E-9</v>
      </c>
      <c r="K12" s="6">
        <f>Plan10!$G21</f>
        <v>3.1983E-9</v>
      </c>
      <c r="L12" s="7">
        <f t="shared" si="2"/>
        <v>2.71256E-9</v>
      </c>
      <c r="M12" s="6">
        <f t="shared" si="0"/>
        <v>2.160394739636949E-9</v>
      </c>
      <c r="N12" s="6">
        <f t="shared" si="1"/>
        <v>3.264725260363051E-9</v>
      </c>
      <c r="O12" s="6">
        <f t="shared" si="3"/>
        <v>5.5216526036305117E-10</v>
      </c>
    </row>
    <row r="13" spans="1:21" x14ac:dyDescent="0.25">
      <c r="A13" s="5">
        <v>12</v>
      </c>
      <c r="B13" s="6">
        <f>Plan1!$G22</f>
        <v>2.0592000000000001E-9</v>
      </c>
      <c r="C13" s="6">
        <f>Plan2!$G22</f>
        <v>1.9908000000000002E-9</v>
      </c>
      <c r="D13" s="6">
        <f>Plan3!$G22</f>
        <v>1.7428E-9</v>
      </c>
      <c r="E13" s="6">
        <f>Plan4!$G22</f>
        <v>1.9760999999999998E-9</v>
      </c>
      <c r="F13" s="6">
        <f>Plan5!$G22</f>
        <v>1.9671E-9</v>
      </c>
      <c r="G13" s="6">
        <f>Plan6!$G22</f>
        <v>2.8214000000000002E-9</v>
      </c>
      <c r="H13" s="6">
        <f>Plan7!$G22</f>
        <v>4.0538999999999998E-9</v>
      </c>
      <c r="I13" s="6">
        <f>Plan8!$G22</f>
        <v>2.5584000000000002E-9</v>
      </c>
      <c r="J13" s="6">
        <f>Plan9!$G22</f>
        <v>2.9164E-9</v>
      </c>
      <c r="K13" s="6">
        <f>Plan10!$G22</f>
        <v>2.9643000000000002E-9</v>
      </c>
      <c r="L13" s="7">
        <f t="shared" si="2"/>
        <v>2.5050399999999999E-9</v>
      </c>
      <c r="M13" s="6">
        <f t="shared" si="0"/>
        <v>1.9994638773725931E-9</v>
      </c>
      <c r="N13" s="6">
        <f t="shared" si="1"/>
        <v>3.0106161226274066E-9</v>
      </c>
      <c r="O13" s="6">
        <f t="shared" si="3"/>
        <v>5.0557612262740677E-10</v>
      </c>
    </row>
    <row r="14" spans="1:21" x14ac:dyDescent="0.25">
      <c r="A14" s="5">
        <v>13</v>
      </c>
      <c r="B14" s="6">
        <f>Plan1!$G23</f>
        <v>1.8172999999999999E-9</v>
      </c>
      <c r="C14" s="6">
        <f>Plan2!$G23</f>
        <v>1.8870000000000002E-9</v>
      </c>
      <c r="D14" s="6">
        <f>Plan3!$G23</f>
        <v>1.6213E-9</v>
      </c>
      <c r="E14" s="6">
        <f>Plan4!$G23</f>
        <v>1.8639000000000001E-9</v>
      </c>
      <c r="F14" s="6">
        <f>Plan5!$G23</f>
        <v>1.7766E-9</v>
      </c>
      <c r="G14" s="6">
        <f>Plan6!$G23</f>
        <v>2.7112999999999999E-9</v>
      </c>
      <c r="H14" s="6">
        <f>Plan7!$G23</f>
        <v>3.5487E-9</v>
      </c>
      <c r="I14" s="6">
        <f>Plan8!$G23</f>
        <v>2.4417E-9</v>
      </c>
      <c r="J14" s="6">
        <f>Plan9!$G23</f>
        <v>2.8198000000000001E-9</v>
      </c>
      <c r="K14" s="6">
        <f>Plan10!$G23</f>
        <v>2.7923E-9</v>
      </c>
      <c r="L14" s="7">
        <f t="shared" si="2"/>
        <v>2.3279899999999999E-9</v>
      </c>
      <c r="M14" s="6">
        <f t="shared" si="0"/>
        <v>1.8767195414408917E-9</v>
      </c>
      <c r="N14" s="6">
        <f t="shared" si="1"/>
        <v>2.7792604585591082E-9</v>
      </c>
      <c r="O14" s="6">
        <f t="shared" si="3"/>
        <v>4.5127045855910836E-10</v>
      </c>
    </row>
    <row r="15" spans="1:21" x14ac:dyDescent="0.25">
      <c r="A15" s="5">
        <v>14</v>
      </c>
      <c r="B15" s="6">
        <f>Plan1!$G24</f>
        <v>1.8246999999999999E-9</v>
      </c>
      <c r="C15" s="6">
        <f>Plan2!$G24</f>
        <v>1.8744000000000001E-9</v>
      </c>
      <c r="D15" s="6">
        <f>Plan3!$G24</f>
        <v>1.6406999999999999E-9</v>
      </c>
      <c r="E15" s="6">
        <f>Plan4!$G24</f>
        <v>1.8246000000000001E-9</v>
      </c>
      <c r="F15" s="6">
        <f>Plan5!$G24</f>
        <v>1.7731E-9</v>
      </c>
      <c r="G15" s="6">
        <f>Plan6!$G24</f>
        <v>2.5690000000000001E-9</v>
      </c>
      <c r="H15" s="6">
        <f>Plan7!$G24</f>
        <v>3.209E-9</v>
      </c>
      <c r="I15" s="6">
        <f>Plan8!$G24</f>
        <v>2.3016E-9</v>
      </c>
      <c r="J15" s="6">
        <f>Plan9!$G24</f>
        <v>2.682E-9</v>
      </c>
      <c r="K15" s="6">
        <f>Plan10!$G24</f>
        <v>2.6357999999999999E-9</v>
      </c>
      <c r="L15" s="7">
        <f t="shared" si="2"/>
        <v>2.2334900000000003E-9</v>
      </c>
      <c r="M15" s="6">
        <f t="shared" si="0"/>
        <v>1.859610393077139E-9</v>
      </c>
      <c r="N15" s="6">
        <f t="shared" si="1"/>
        <v>2.6073696069228616E-9</v>
      </c>
      <c r="O15" s="6">
        <f t="shared" si="3"/>
        <v>3.7387960692286121E-10</v>
      </c>
    </row>
    <row r="16" spans="1:21" x14ac:dyDescent="0.25">
      <c r="A16" s="5">
        <v>15</v>
      </c>
      <c r="B16" s="6">
        <f>Plan1!$G25</f>
        <v>1.6602999999999999E-9</v>
      </c>
      <c r="C16" s="6">
        <f>Plan2!$G25</f>
        <v>1.7792E-9</v>
      </c>
      <c r="D16" s="6">
        <f>Plan3!$G25</f>
        <v>1.5761E-9</v>
      </c>
      <c r="E16" s="6">
        <f>Plan4!$G25</f>
        <v>1.7447E-9</v>
      </c>
      <c r="F16" s="6">
        <f>Plan5!$G25</f>
        <v>1.6991000000000001E-9</v>
      </c>
      <c r="G16" s="6">
        <f>Plan6!$G25</f>
        <v>2.4765999999999999E-9</v>
      </c>
      <c r="H16" s="6">
        <f>Plan7!$G25</f>
        <v>3.0189E-9</v>
      </c>
      <c r="I16" s="6">
        <f>Plan8!$G25</f>
        <v>2.2078000000000002E-9</v>
      </c>
      <c r="J16" s="6">
        <f>Plan9!$G25</f>
        <v>2.6917000000000001E-9</v>
      </c>
      <c r="K16" s="6">
        <f>Plan10!$G25</f>
        <v>2.5507999999999999E-9</v>
      </c>
      <c r="L16" s="7">
        <f t="shared" si="2"/>
        <v>2.14052E-9</v>
      </c>
      <c r="M16" s="6">
        <f t="shared" si="0"/>
        <v>1.77169546561826E-9</v>
      </c>
      <c r="N16" s="6">
        <f t="shared" si="1"/>
        <v>2.50934453438174E-9</v>
      </c>
      <c r="O16" s="6">
        <f t="shared" si="3"/>
        <v>3.6882453438173989E-10</v>
      </c>
    </row>
    <row r="17" spans="1:15" x14ac:dyDescent="0.25">
      <c r="A17" s="5">
        <v>16</v>
      </c>
      <c r="B17" s="6">
        <f>Plan1!$G26</f>
        <v>1.5240999999999999E-9</v>
      </c>
      <c r="C17" s="6">
        <f>Plan2!$G26</f>
        <v>1.7019999999999999E-9</v>
      </c>
      <c r="D17" s="6">
        <f>Plan3!$G26</f>
        <v>1.4902000000000001E-9</v>
      </c>
      <c r="E17" s="6">
        <f>Plan4!$G26</f>
        <v>1.6897000000000001E-9</v>
      </c>
      <c r="F17" s="6">
        <f>Plan5!$G26</f>
        <v>1.5920999999999999E-9</v>
      </c>
      <c r="G17" s="6">
        <f>Plan6!$G26</f>
        <v>2.2462E-9</v>
      </c>
      <c r="H17" s="6">
        <f>Plan7!$G26</f>
        <v>3.1054000000000001E-9</v>
      </c>
      <c r="I17" s="6">
        <f>Plan8!$G26</f>
        <v>2.1174000000000002E-9</v>
      </c>
      <c r="J17" s="6">
        <f>Plan9!$G26</f>
        <v>2.4787000000000001E-9</v>
      </c>
      <c r="K17" s="6">
        <f>Plan10!$G26</f>
        <v>2.3677E-9</v>
      </c>
      <c r="L17" s="7">
        <f t="shared" si="2"/>
        <v>2.03135E-9</v>
      </c>
      <c r="M17" s="6">
        <f t="shared" si="0"/>
        <v>1.6551780245086219E-9</v>
      </c>
      <c r="N17" s="6">
        <f t="shared" si="1"/>
        <v>2.4075219754913781E-9</v>
      </c>
      <c r="O17" s="6">
        <f t="shared" si="3"/>
        <v>3.7617197549137807E-10</v>
      </c>
    </row>
    <row r="18" spans="1:15" x14ac:dyDescent="0.25">
      <c r="A18" s="5">
        <v>17</v>
      </c>
      <c r="B18" s="6">
        <f>Plan1!$G27</f>
        <v>1.4342000000000001E-9</v>
      </c>
      <c r="C18" s="6">
        <f>Plan2!$G27</f>
        <v>1.6517E-9</v>
      </c>
      <c r="D18" s="6">
        <f>Plan3!$G27</f>
        <v>1.4653999999999999E-9</v>
      </c>
      <c r="E18" s="6">
        <f>Plan4!$G27</f>
        <v>1.5445E-9</v>
      </c>
      <c r="F18" s="6">
        <f>Plan5!$G27</f>
        <v>1.5514E-9</v>
      </c>
      <c r="G18" s="6">
        <f>Plan6!$G27</f>
        <v>2.1487999999999999E-9</v>
      </c>
      <c r="H18" s="6">
        <f>Plan7!$G27</f>
        <v>3.1647E-9</v>
      </c>
      <c r="I18" s="6">
        <f>Plan8!$G27</f>
        <v>2.0401E-9</v>
      </c>
      <c r="J18" s="6">
        <f>Plan9!$G27</f>
        <v>2.3263000000000001E-9</v>
      </c>
      <c r="K18" s="6">
        <f>Plan10!$G27</f>
        <v>2.3141000000000001E-9</v>
      </c>
      <c r="L18" s="7">
        <f t="shared" si="2"/>
        <v>1.9641199999999996E-9</v>
      </c>
      <c r="M18" s="6">
        <f t="shared" si="0"/>
        <v>1.5716870418833366E-9</v>
      </c>
      <c r="N18" s="6">
        <f t="shared" si="1"/>
        <v>2.3565529581166628E-9</v>
      </c>
      <c r="O18" s="6">
        <f t="shared" si="3"/>
        <v>3.9243295811666304E-10</v>
      </c>
    </row>
    <row r="19" spans="1:15" x14ac:dyDescent="0.25">
      <c r="A19" s="8">
        <v>18</v>
      </c>
      <c r="B19" s="6">
        <f>Plan1!$G28</f>
        <v>1.4178E-9</v>
      </c>
      <c r="C19" s="6">
        <f>Plan2!$G28</f>
        <v>1.6222E-9</v>
      </c>
      <c r="D19" s="6">
        <f>Plan3!$G28</f>
        <v>1.4180000000000001E-9</v>
      </c>
      <c r="E19" s="6">
        <f>Plan4!$G28</f>
        <v>1.5613E-9</v>
      </c>
      <c r="F19" s="6">
        <f>Plan5!$G28</f>
        <v>1.5464E-9</v>
      </c>
      <c r="G19" s="6">
        <f>Plan6!$G28</f>
        <v>1.9356999999999998E-9</v>
      </c>
      <c r="H19" s="6">
        <f>Plan7!$G28</f>
        <v>3.1523E-9</v>
      </c>
      <c r="I19" s="6">
        <f>Plan8!$G28</f>
        <v>1.9870999999999999E-9</v>
      </c>
      <c r="J19" s="6">
        <f>Plan9!$G28</f>
        <v>2.2669000000000001E-9</v>
      </c>
      <c r="K19" s="6">
        <f>Plan10!$G28</f>
        <v>2.3119999999999999E-9</v>
      </c>
      <c r="L19" s="7">
        <f t="shared" si="2"/>
        <v>1.9219700000000001E-9</v>
      </c>
      <c r="M19" s="6">
        <f t="shared" si="0"/>
        <v>1.5331820718336487E-9</v>
      </c>
      <c r="N19" s="6">
        <f t="shared" si="1"/>
        <v>2.3107579281663516E-9</v>
      </c>
      <c r="O19" s="6">
        <f t="shared" si="3"/>
        <v>3.887879281663515E-10</v>
      </c>
    </row>
    <row r="20" spans="1:15" x14ac:dyDescent="0.25">
      <c r="A20" s="9">
        <v>19</v>
      </c>
      <c r="B20" s="6">
        <f>Plan1!$G29</f>
        <v>1.3163999999999999E-9</v>
      </c>
      <c r="C20" s="6">
        <f>Plan2!$G29</f>
        <v>1.5840999999999999E-9</v>
      </c>
      <c r="D20" s="6">
        <f>Plan3!$G29</f>
        <v>1.4069E-9</v>
      </c>
      <c r="E20" s="6">
        <f>Plan4!$G29</f>
        <v>1.4585999999999999E-9</v>
      </c>
      <c r="F20" s="6">
        <f>Plan5!$G29</f>
        <v>1.5006E-9</v>
      </c>
      <c r="G20" s="6">
        <f>Plan6!$G29</f>
        <v>1.8619E-9</v>
      </c>
      <c r="H20" s="6">
        <f>Plan7!$G29</f>
        <v>3.0101999999999998E-9</v>
      </c>
      <c r="I20" s="6">
        <f>Plan8!$G29</f>
        <v>1.9305999999999999E-9</v>
      </c>
      <c r="J20" s="6">
        <f>Plan9!$G29</f>
        <v>2.1512000000000002E-9</v>
      </c>
      <c r="K20" s="6">
        <f>Plan10!$G29</f>
        <v>2.2226000000000002E-9</v>
      </c>
      <c r="L20" s="7">
        <f t="shared" si="2"/>
        <v>1.84431E-9</v>
      </c>
      <c r="M20" s="6">
        <f t="shared" si="0"/>
        <v>1.4742112747838449E-9</v>
      </c>
      <c r="N20" s="6">
        <f t="shared" si="1"/>
        <v>2.2144087252161551E-9</v>
      </c>
      <c r="O20" s="6">
        <f t="shared" si="3"/>
        <v>3.7009872521615506E-10</v>
      </c>
    </row>
    <row r="21" spans="1:15" x14ac:dyDescent="0.25">
      <c r="A21" s="9">
        <v>20</v>
      </c>
      <c r="B21" s="6">
        <f>Plan1!$G30</f>
        <v>1.2994000000000001E-9</v>
      </c>
      <c r="C21" s="6">
        <f>Plan2!$G30</f>
        <v>1.5152000000000001E-9</v>
      </c>
      <c r="D21" s="6">
        <f>Plan3!$G30</f>
        <v>1.3506000000000001E-9</v>
      </c>
      <c r="E21" s="6">
        <f>Plan4!$G30</f>
        <v>1.3574000000000001E-9</v>
      </c>
      <c r="F21" s="6">
        <f>Plan5!$G30</f>
        <v>1.4645000000000001E-9</v>
      </c>
      <c r="G21" s="6">
        <f>Plan6!$G30</f>
        <v>1.8406E-9</v>
      </c>
      <c r="H21" s="6">
        <f>Plan7!$G30</f>
        <v>2.7905999999999999E-9</v>
      </c>
      <c r="I21" s="6">
        <f>Plan8!$G30</f>
        <v>1.8714E-9</v>
      </c>
      <c r="J21" s="6">
        <f>Plan9!$G30</f>
        <v>2.1614E-9</v>
      </c>
      <c r="K21" s="6">
        <f>Plan10!$G30</f>
        <v>2.1203999999999998E-9</v>
      </c>
      <c r="L21" s="7">
        <f t="shared" si="2"/>
        <v>1.7771500000000002E-9</v>
      </c>
      <c r="M21" s="6">
        <f t="shared" si="0"/>
        <v>1.4350555914790726E-9</v>
      </c>
      <c r="N21" s="6">
        <f t="shared" si="1"/>
        <v>2.1192444085209281E-9</v>
      </c>
      <c r="O21" s="6">
        <f t="shared" si="3"/>
        <v>3.4209440852092766E-10</v>
      </c>
    </row>
    <row r="22" spans="1:15" x14ac:dyDescent="0.25">
      <c r="A22" s="9">
        <v>21</v>
      </c>
      <c r="B22" s="6">
        <f>Plan1!$G31</f>
        <v>1.2778000000000001E-9</v>
      </c>
      <c r="C22" s="6">
        <f>Plan2!$G31</f>
        <v>1.5336E-9</v>
      </c>
      <c r="D22" s="6">
        <f>Plan3!$G31</f>
        <v>1.3174E-9</v>
      </c>
      <c r="E22" s="6">
        <f>Plan4!$G31</f>
        <v>1.3857000000000001E-9</v>
      </c>
      <c r="F22" s="6">
        <f>Plan5!$G31</f>
        <v>1.4578999999999999E-9</v>
      </c>
      <c r="G22" s="6">
        <f>Plan6!$G31</f>
        <v>1.7862999999999999E-9</v>
      </c>
      <c r="H22" s="6">
        <f>Plan7!$G31</f>
        <v>2.5794E-9</v>
      </c>
      <c r="I22" s="6">
        <f>Plan8!$G31</f>
        <v>1.7443000000000001E-9</v>
      </c>
      <c r="J22" s="6">
        <f>Plan9!$G31</f>
        <v>2.0943000000000001E-9</v>
      </c>
      <c r="K22" s="6">
        <f>Plan10!$G31</f>
        <v>2.0605000000000001E-9</v>
      </c>
      <c r="L22" s="7">
        <f t="shared" si="2"/>
        <v>1.7237200000000001E-9</v>
      </c>
      <c r="M22" s="6">
        <f t="shared" si="0"/>
        <v>1.4247230282242199E-9</v>
      </c>
      <c r="N22" s="6">
        <f t="shared" si="1"/>
        <v>2.0227169717757803E-9</v>
      </c>
      <c r="O22" s="6">
        <f t="shared" si="3"/>
        <v>2.9899697177578032E-10</v>
      </c>
    </row>
    <row r="23" spans="1:15" x14ac:dyDescent="0.25">
      <c r="A23" s="9">
        <v>22</v>
      </c>
      <c r="B23" s="6">
        <f>Plan1!$G32</f>
        <v>1.2587E-9</v>
      </c>
      <c r="C23" s="6">
        <f>Plan2!$G32</f>
        <v>1.5054E-9</v>
      </c>
      <c r="D23" s="6">
        <f>Plan3!$G32</f>
        <v>1.2752999999999999E-9</v>
      </c>
      <c r="E23" s="6">
        <f>Plan4!$G32</f>
        <v>1.2804E-9</v>
      </c>
      <c r="F23" s="6">
        <f>Plan5!$G32</f>
        <v>1.4251E-9</v>
      </c>
      <c r="G23" s="6">
        <f>Plan6!$G32</f>
        <v>1.7893E-9</v>
      </c>
      <c r="H23" s="6">
        <f>Plan7!$G32</f>
        <v>2.3578999999999999E-9</v>
      </c>
      <c r="I23" s="6">
        <f>Plan8!$G32</f>
        <v>1.6612E-9</v>
      </c>
      <c r="J23" s="6">
        <f>Plan9!$G32</f>
        <v>2.0020999999999999E-9</v>
      </c>
      <c r="K23" s="6">
        <f>Plan10!$G32</f>
        <v>2.0363000000000001E-9</v>
      </c>
      <c r="L23" s="7">
        <f t="shared" si="2"/>
        <v>1.6591699999999998E-9</v>
      </c>
      <c r="M23" s="6">
        <f t="shared" si="0"/>
        <v>1.3878554268323362E-9</v>
      </c>
      <c r="N23" s="6">
        <f t="shared" si="1"/>
        <v>1.9304845731676634E-9</v>
      </c>
      <c r="O23" s="6">
        <f t="shared" si="3"/>
        <v>2.7131457316766355E-10</v>
      </c>
    </row>
    <row r="24" spans="1:15" x14ac:dyDescent="0.25">
      <c r="A24" s="9">
        <v>23</v>
      </c>
      <c r="B24" s="6">
        <f>Plan1!$G33</f>
        <v>1.1679000000000001E-9</v>
      </c>
      <c r="C24" s="6">
        <f>Plan2!$G33</f>
        <v>1.4534E-9</v>
      </c>
      <c r="D24" s="6">
        <f>Plan3!$G33</f>
        <v>1.2646E-9</v>
      </c>
      <c r="E24" s="6">
        <f>Plan4!$G33</f>
        <v>1.2557999999999999E-9</v>
      </c>
      <c r="F24" s="6">
        <f>Plan5!$G33</f>
        <v>1.3924000000000001E-9</v>
      </c>
      <c r="G24" s="6">
        <f>Plan6!$G33</f>
        <v>1.7350999999999999E-9</v>
      </c>
      <c r="H24" s="6">
        <f>Plan7!$G33</f>
        <v>2.2062000000000001E-9</v>
      </c>
      <c r="I24" s="6">
        <f>Plan8!$G33</f>
        <v>1.5817E-9</v>
      </c>
      <c r="J24" s="6">
        <f>Plan9!$G33</f>
        <v>1.8994999999999999E-9</v>
      </c>
      <c r="K24" s="6">
        <f>Plan10!$G33</f>
        <v>1.9625000000000002E-9</v>
      </c>
      <c r="L24" s="7">
        <f t="shared" si="2"/>
        <v>1.5919100000000003E-9</v>
      </c>
      <c r="M24" s="6">
        <f t="shared" si="0"/>
        <v>1.3430974040772134E-9</v>
      </c>
      <c r="N24" s="6">
        <f t="shared" si="1"/>
        <v>1.8407225959227873E-9</v>
      </c>
      <c r="O24" s="6">
        <f t="shared" si="3"/>
        <v>2.4881259592278689E-10</v>
      </c>
    </row>
    <row r="25" spans="1:15" x14ac:dyDescent="0.25">
      <c r="A25" s="9">
        <v>24</v>
      </c>
      <c r="B25" s="6">
        <f>Plan1!$G34</f>
        <v>1.1423999999999999E-9</v>
      </c>
      <c r="C25" s="6">
        <f>Plan2!$G34</f>
        <v>1.4390999999999999E-9</v>
      </c>
      <c r="D25" s="6">
        <f>Plan3!$G34</f>
        <v>1.2404E-9</v>
      </c>
      <c r="E25" s="6">
        <f>Plan4!$G34</f>
        <v>1.2178000000000001E-9</v>
      </c>
      <c r="F25" s="6">
        <f>Plan5!$G34</f>
        <v>1.3863000000000001E-9</v>
      </c>
      <c r="G25" s="6">
        <f>Plan6!$G34</f>
        <v>1.7045000000000001E-9</v>
      </c>
      <c r="H25" s="6">
        <f>Plan7!$G34</f>
        <v>2.0603E-9</v>
      </c>
      <c r="I25" s="6">
        <f>Plan8!$G34</f>
        <v>1.5692999999999999E-9</v>
      </c>
      <c r="J25" s="6">
        <f>Plan9!$G34</f>
        <v>1.7989000000000001E-9</v>
      </c>
      <c r="K25" s="6">
        <f>Plan10!$G34</f>
        <v>1.9399999999999999E-9</v>
      </c>
      <c r="L25" s="7">
        <f t="shared" si="2"/>
        <v>1.5498999999999998E-9</v>
      </c>
      <c r="M25" s="6">
        <f t="shared" si="0"/>
        <v>1.3224131046066978E-9</v>
      </c>
      <c r="N25" s="6">
        <f t="shared" si="1"/>
        <v>1.7773868953933018E-9</v>
      </c>
      <c r="O25" s="6">
        <f t="shared" si="3"/>
        <v>2.274868953933019E-10</v>
      </c>
    </row>
    <row r="26" spans="1:15" x14ac:dyDescent="0.25">
      <c r="A26" s="9">
        <v>25</v>
      </c>
      <c r="B26" s="6">
        <f>Plan1!$G35</f>
        <v>1.1059000000000001E-9</v>
      </c>
      <c r="C26" s="6">
        <f>Plan2!$G35</f>
        <v>1.4100000000000001E-9</v>
      </c>
      <c r="D26" s="6">
        <f>Plan3!$G35</f>
        <v>1.1905E-9</v>
      </c>
      <c r="E26" s="6">
        <f>Plan4!$G35</f>
        <v>1.1841000000000001E-9</v>
      </c>
      <c r="F26" s="6">
        <f>Plan5!$G35</f>
        <v>1.3617E-9</v>
      </c>
      <c r="G26" s="6">
        <f>Plan6!$G35</f>
        <v>1.6408E-9</v>
      </c>
      <c r="H26" s="6">
        <f>Plan7!$G35</f>
        <v>1.9950999999999999E-9</v>
      </c>
      <c r="I26" s="6">
        <f>Plan8!$G35</f>
        <v>1.4606999999999999E-9</v>
      </c>
      <c r="J26" s="6">
        <f>Plan9!$G35</f>
        <v>1.7879E-9</v>
      </c>
      <c r="K26" s="6">
        <f>Plan10!$G35</f>
        <v>1.9029000000000001E-9</v>
      </c>
      <c r="L26" s="7">
        <f t="shared" si="2"/>
        <v>1.5039599999999998E-9</v>
      </c>
      <c r="M26" s="6">
        <f t="shared" si="0"/>
        <v>1.2790455110222314E-9</v>
      </c>
      <c r="N26" s="6">
        <f t="shared" si="1"/>
        <v>1.7288744889777683E-9</v>
      </c>
      <c r="O26" s="6">
        <f t="shared" si="3"/>
        <v>2.2491448897776849E-10</v>
      </c>
    </row>
    <row r="27" spans="1:15" x14ac:dyDescent="0.25">
      <c r="A27" s="9">
        <v>26</v>
      </c>
      <c r="B27" s="6">
        <f>Plan1!$G36</f>
        <v>1.0519000000000001E-9</v>
      </c>
      <c r="C27" s="6">
        <f>Plan2!$G36</f>
        <v>1.382E-9</v>
      </c>
      <c r="D27" s="6">
        <f>Plan3!$G36</f>
        <v>1.2001E-9</v>
      </c>
      <c r="E27" s="6">
        <f>Plan4!$G36</f>
        <v>1.1631E-9</v>
      </c>
      <c r="F27" s="6">
        <f>Plan5!$G36</f>
        <v>1.3348E-9</v>
      </c>
      <c r="G27" s="6">
        <f>Plan6!$G36</f>
        <v>1.5574E-9</v>
      </c>
      <c r="H27" s="6">
        <f>Plan7!$G36</f>
        <v>1.9068000000000001E-9</v>
      </c>
      <c r="I27" s="6">
        <f>Plan8!$G36</f>
        <v>1.4334E-9</v>
      </c>
      <c r="J27" s="6">
        <f>Plan9!$G36</f>
        <v>1.7531999999999999E-9</v>
      </c>
      <c r="K27" s="6">
        <f>Plan10!$G36</f>
        <v>1.8630999999999999E-9</v>
      </c>
      <c r="L27" s="7">
        <f t="shared" si="2"/>
        <v>1.4645800000000001E-9</v>
      </c>
      <c r="M27" s="6">
        <f t="shared" si="0"/>
        <v>1.2510256387063867E-9</v>
      </c>
      <c r="N27" s="6">
        <f t="shared" si="1"/>
        <v>1.6781343612936136E-9</v>
      </c>
      <c r="O27" s="6">
        <f t="shared" si="3"/>
        <v>2.1355436129361345E-10</v>
      </c>
    </row>
    <row r="28" spans="1:15" x14ac:dyDescent="0.25">
      <c r="A28" s="9">
        <v>27</v>
      </c>
      <c r="B28" s="6">
        <f>Plan1!$G37</f>
        <v>1.0423E-9</v>
      </c>
      <c r="C28" s="6">
        <f>Plan2!$G37</f>
        <v>1.349E-9</v>
      </c>
      <c r="D28" s="6">
        <f>Plan3!$G37</f>
        <v>1.1462E-9</v>
      </c>
      <c r="E28" s="6">
        <f>Plan4!$G37</f>
        <v>1.1069E-9</v>
      </c>
      <c r="F28" s="6">
        <f>Plan5!$G37</f>
        <v>1.3473999999999999E-9</v>
      </c>
      <c r="G28" s="6">
        <f>Plan6!$G37</f>
        <v>1.5152999999999999E-9</v>
      </c>
      <c r="H28" s="6">
        <f>Plan7!$G37</f>
        <v>1.8327000000000001E-9</v>
      </c>
      <c r="I28" s="6">
        <f>Plan8!$G37</f>
        <v>1.361E-9</v>
      </c>
      <c r="J28" s="6">
        <f>Plan9!$G37</f>
        <v>1.6944000000000001E-9</v>
      </c>
      <c r="K28" s="6">
        <f>Plan10!$G37</f>
        <v>1.8107E-9</v>
      </c>
      <c r="L28" s="7">
        <f t="shared" si="2"/>
        <v>1.42059E-9</v>
      </c>
      <c r="M28" s="6">
        <f t="shared" si="0"/>
        <v>1.2159109765064906E-9</v>
      </c>
      <c r="N28" s="6">
        <f t="shared" si="1"/>
        <v>1.6252690234935093E-9</v>
      </c>
      <c r="O28" s="6">
        <f t="shared" si="3"/>
        <v>2.0467902349350929E-10</v>
      </c>
    </row>
    <row r="29" spans="1:15" x14ac:dyDescent="0.25">
      <c r="A29" s="9">
        <v>28</v>
      </c>
      <c r="B29" s="6">
        <f>Plan1!$G38</f>
        <v>1.0172E-9</v>
      </c>
      <c r="C29" s="6">
        <f>Plan2!$G38</f>
        <v>1.3412000000000001E-9</v>
      </c>
      <c r="D29" s="6">
        <f>Plan3!$G38</f>
        <v>1.1167999999999999E-9</v>
      </c>
      <c r="E29" s="6">
        <f>Plan4!$G38</f>
        <v>1.1159E-9</v>
      </c>
      <c r="F29" s="6">
        <f>Plan5!$G38</f>
        <v>1.3039E-9</v>
      </c>
      <c r="G29" s="6">
        <f>Plan6!$G38</f>
        <v>1.4699000000000001E-9</v>
      </c>
      <c r="H29" s="6">
        <f>Plan7!$G38</f>
        <v>1.8010999999999999E-9</v>
      </c>
      <c r="I29" s="6">
        <f>Plan8!$G38</f>
        <v>1.3052E-9</v>
      </c>
      <c r="J29" s="6">
        <f>Plan9!$G38</f>
        <v>1.6796999999999999E-9</v>
      </c>
      <c r="K29" s="6">
        <f>Plan10!$G38</f>
        <v>1.7558999999999999E-9</v>
      </c>
      <c r="L29" s="7">
        <f t="shared" si="2"/>
        <v>1.39068E-9</v>
      </c>
      <c r="M29" s="6">
        <f t="shared" si="0"/>
        <v>1.1913295862931842E-9</v>
      </c>
      <c r="N29" s="6">
        <f t="shared" si="1"/>
        <v>1.5900304137068158E-9</v>
      </c>
      <c r="O29" s="6">
        <f t="shared" si="3"/>
        <v>1.9935041370681592E-10</v>
      </c>
    </row>
    <row r="30" spans="1:15" x14ac:dyDescent="0.25">
      <c r="A30" s="9">
        <v>29</v>
      </c>
      <c r="B30" s="6">
        <f>Plan1!$G39</f>
        <v>1.0199E-9</v>
      </c>
      <c r="C30" s="6">
        <f>Plan2!$G39</f>
        <v>1.3161E-9</v>
      </c>
      <c r="D30" s="6">
        <f>Plan3!$G39</f>
        <v>1.1143E-9</v>
      </c>
      <c r="E30" s="6">
        <f>Plan4!$G39</f>
        <v>1.0595999999999999E-9</v>
      </c>
      <c r="F30" s="6">
        <f>Plan5!$G39</f>
        <v>1.2758000000000001E-9</v>
      </c>
      <c r="G30" s="6">
        <f>Plan6!$G39</f>
        <v>1.4792E-9</v>
      </c>
      <c r="H30" s="6">
        <f>Plan7!$G39</f>
        <v>1.8037000000000001E-9</v>
      </c>
      <c r="I30" s="6">
        <f>Plan8!$G39</f>
        <v>1.2789E-9</v>
      </c>
      <c r="J30" s="6">
        <f>Plan9!$G39</f>
        <v>1.6129000000000001E-9</v>
      </c>
      <c r="K30" s="6">
        <f>Plan10!$G39</f>
        <v>1.6734E-9</v>
      </c>
      <c r="L30" s="7">
        <f t="shared" si="2"/>
        <v>1.3633800000000001E-9</v>
      </c>
      <c r="M30" s="6">
        <f t="shared" si="0"/>
        <v>1.1703937332619712E-9</v>
      </c>
      <c r="N30" s="6">
        <f t="shared" si="1"/>
        <v>1.556366266738029E-9</v>
      </c>
      <c r="O30" s="6">
        <f t="shared" si="3"/>
        <v>1.929862667380289E-10</v>
      </c>
    </row>
    <row r="31" spans="1:15" x14ac:dyDescent="0.25">
      <c r="A31" s="10">
        <v>30</v>
      </c>
      <c r="B31" s="6">
        <f>Plan1!$G40</f>
        <v>9.9600999999999996E-10</v>
      </c>
      <c r="C31" s="6">
        <f>Plan2!$G40</f>
        <v>1.2924E-9</v>
      </c>
      <c r="D31" s="6">
        <f>Plan3!$G40</f>
        <v>1.0642999999999999E-9</v>
      </c>
      <c r="E31" s="6">
        <f>Plan4!$G40</f>
        <v>1.0382E-9</v>
      </c>
      <c r="F31" s="6">
        <f>Plan5!$G40</f>
        <v>1.2738000000000001E-9</v>
      </c>
      <c r="G31" s="6">
        <f>Plan6!$G40</f>
        <v>1.4278E-9</v>
      </c>
      <c r="H31" s="6">
        <f>Plan7!$G40</f>
        <v>1.7601E-9</v>
      </c>
      <c r="I31" s="6">
        <f>Plan8!$G40</f>
        <v>1.2141E-9</v>
      </c>
      <c r="J31" s="6">
        <f>Plan9!$G40</f>
        <v>1.5610999999999999E-9</v>
      </c>
      <c r="K31" s="6">
        <f>Plan10!$G40</f>
        <v>1.6492000000000001E-9</v>
      </c>
      <c r="L31" s="7">
        <f t="shared" si="2"/>
        <v>1.327701E-9</v>
      </c>
      <c r="M31" s="6">
        <f t="shared" si="0"/>
        <v>1.1376720326282572E-9</v>
      </c>
      <c r="N31" s="6">
        <f t="shared" si="1"/>
        <v>1.5177299673717428E-9</v>
      </c>
      <c r="O31" s="6">
        <f t="shared" si="3"/>
        <v>1.9002896737174287E-10</v>
      </c>
    </row>
    <row r="32" spans="1:15" x14ac:dyDescent="0.25">
      <c r="A32" s="9">
        <v>31</v>
      </c>
      <c r="B32" s="6">
        <f>Plan1!$G41</f>
        <v>9.8997999999999993E-10</v>
      </c>
      <c r="C32" s="6">
        <f>Plan2!$G41</f>
        <v>1.2756E-9</v>
      </c>
      <c r="D32" s="6">
        <f>Plan3!$G41</f>
        <v>1.0369E-9</v>
      </c>
      <c r="E32" s="6">
        <f>Plan4!$G41</f>
        <v>1.0361E-9</v>
      </c>
      <c r="F32" s="6">
        <f>Plan5!$G41</f>
        <v>1.2434000000000001E-9</v>
      </c>
      <c r="G32" s="6">
        <f>Plan6!$G41</f>
        <v>1.4414E-9</v>
      </c>
      <c r="H32" s="6">
        <f>Plan7!$G41</f>
        <v>1.7192E-9</v>
      </c>
      <c r="I32" s="6">
        <f>Plan8!$G41</f>
        <v>1.1547E-9</v>
      </c>
      <c r="J32" s="6">
        <f>Plan9!$G41</f>
        <v>1.5606E-9</v>
      </c>
      <c r="K32" s="6">
        <f>Plan10!$G41</f>
        <v>1.6423E-9</v>
      </c>
      <c r="L32" s="7">
        <f t="shared" si="2"/>
        <v>1.310018E-9</v>
      </c>
      <c r="M32" s="6">
        <f t="shared" si="0"/>
        <v>1.1193025315177161E-9</v>
      </c>
      <c r="N32" s="6">
        <f t="shared" si="1"/>
        <v>1.5007334684822838E-9</v>
      </c>
      <c r="O32" s="6">
        <f t="shared" si="3"/>
        <v>1.9071546848228389E-10</v>
      </c>
    </row>
    <row r="33" spans="1:15" x14ac:dyDescent="0.25">
      <c r="A33" s="9">
        <v>32</v>
      </c>
      <c r="B33" s="6">
        <f>Plan1!$G42</f>
        <v>9.6654999999999993E-10</v>
      </c>
      <c r="C33" s="6">
        <f>Plan2!$G42</f>
        <v>1.2429999999999999E-9</v>
      </c>
      <c r="D33" s="6">
        <f>Plan3!$G42</f>
        <v>1.0121000000000001E-9</v>
      </c>
      <c r="E33" s="6">
        <f>Plan4!$G42</f>
        <v>1.0049999999999999E-9</v>
      </c>
      <c r="F33" s="6">
        <f>Plan5!$G42</f>
        <v>1.2196E-9</v>
      </c>
      <c r="G33" s="6">
        <f>Plan6!$G42</f>
        <v>1.4152E-9</v>
      </c>
      <c r="H33" s="6">
        <f>Plan7!$G42</f>
        <v>1.6644E-9</v>
      </c>
      <c r="I33" s="6">
        <f>Plan8!$G42</f>
        <v>1.1740000000000001E-9</v>
      </c>
      <c r="J33" s="6">
        <f>Plan9!$G42</f>
        <v>1.5091000000000001E-9</v>
      </c>
      <c r="K33" s="6">
        <f>Plan10!$G42</f>
        <v>1.6479000000000001E-9</v>
      </c>
      <c r="L33" s="7">
        <f t="shared" si="2"/>
        <v>1.285685E-9</v>
      </c>
      <c r="M33" s="6">
        <f t="shared" si="0"/>
        <v>1.0986167906218674E-9</v>
      </c>
      <c r="N33" s="6">
        <f t="shared" si="1"/>
        <v>1.4727532093781326E-9</v>
      </c>
      <c r="O33" s="6">
        <f t="shared" si="3"/>
        <v>1.8706820937813254E-10</v>
      </c>
    </row>
    <row r="34" spans="1:15" x14ac:dyDescent="0.25">
      <c r="A34" s="9">
        <v>33</v>
      </c>
      <c r="B34" s="6">
        <f>Plan1!$G43</f>
        <v>9.5294000000000002E-10</v>
      </c>
      <c r="C34" s="6">
        <f>Plan2!$G43</f>
        <v>1.2316E-9</v>
      </c>
      <c r="D34" s="6">
        <f>Plan3!$G43</f>
        <v>9.9462000000000003E-10</v>
      </c>
      <c r="E34" s="6">
        <f>Plan4!$G43</f>
        <v>1.0195E-9</v>
      </c>
      <c r="F34" s="6">
        <f>Plan5!$G43</f>
        <v>1.1983000000000001E-9</v>
      </c>
      <c r="G34" s="6">
        <f>Plan6!$G43</f>
        <v>1.33E-9</v>
      </c>
      <c r="H34" s="6">
        <f>Plan7!$G43</f>
        <v>1.5775E-9</v>
      </c>
      <c r="I34" s="6">
        <f>Plan8!$G43</f>
        <v>1.121E-9</v>
      </c>
      <c r="J34" s="6">
        <f>Plan9!$G43</f>
        <v>1.4883999999999999E-9</v>
      </c>
      <c r="K34" s="6">
        <f>Plan10!$G43</f>
        <v>1.6527999999999999E-9</v>
      </c>
      <c r="L34" s="7">
        <f t="shared" si="2"/>
        <v>1.2566659999999999E-9</v>
      </c>
      <c r="M34" s="6">
        <f t="shared" si="0"/>
        <v>1.0784573065295135E-9</v>
      </c>
      <c r="N34" s="6">
        <f t="shared" si="1"/>
        <v>1.4348746934704863E-9</v>
      </c>
      <c r="O34" s="6">
        <f t="shared" si="3"/>
        <v>1.7820869347048631E-10</v>
      </c>
    </row>
    <row r="35" spans="1:15" x14ac:dyDescent="0.25">
      <c r="A35" s="9">
        <v>34</v>
      </c>
      <c r="B35" s="6">
        <f>Plan1!$G44</f>
        <v>9.1051999999999997E-10</v>
      </c>
      <c r="C35" s="6">
        <f>Plan2!$G44</f>
        <v>1.2026E-9</v>
      </c>
      <c r="D35" s="6">
        <f>Plan3!$G44</f>
        <v>9.5333999999999994E-10</v>
      </c>
      <c r="E35" s="6">
        <f>Plan4!$G44</f>
        <v>1.0053E-9</v>
      </c>
      <c r="F35" s="6">
        <f>Plan5!$G44</f>
        <v>1.1740000000000001E-9</v>
      </c>
      <c r="G35" s="6">
        <f>Plan6!$G44</f>
        <v>1.2960999999999999E-9</v>
      </c>
      <c r="H35" s="6">
        <f>Plan7!$G44</f>
        <v>1.4906E-9</v>
      </c>
      <c r="I35" s="6">
        <f>Plan8!$G44</f>
        <v>1.1222999999999999E-9</v>
      </c>
      <c r="J35" s="6">
        <f>Plan9!$G44</f>
        <v>1.4454E-9</v>
      </c>
      <c r="K35" s="6">
        <f>Plan10!$G44</f>
        <v>1.6157999999999999E-9</v>
      </c>
      <c r="L35" s="7">
        <f t="shared" si="2"/>
        <v>1.221596E-9</v>
      </c>
      <c r="M35" s="6">
        <f t="shared" si="0"/>
        <v>1.0510736814589173E-9</v>
      </c>
      <c r="N35" s="6">
        <f t="shared" si="1"/>
        <v>1.3921183185410826E-9</v>
      </c>
      <c r="O35" s="6">
        <f t="shared" si="3"/>
        <v>1.7052231854108268E-10</v>
      </c>
    </row>
    <row r="36" spans="1:15" x14ac:dyDescent="0.25">
      <c r="A36" s="9">
        <v>35</v>
      </c>
      <c r="B36" s="6">
        <f>Plan1!$G45</f>
        <v>9.2536E-10</v>
      </c>
      <c r="C36" s="6">
        <f>Plan2!$G45</f>
        <v>1.1901000000000001E-9</v>
      </c>
      <c r="D36" s="6">
        <f>Plan3!$G45</f>
        <v>9.3342999999999995E-10</v>
      </c>
      <c r="E36" s="6">
        <f>Plan4!$G45</f>
        <v>9.9571999999999995E-10</v>
      </c>
      <c r="F36" s="6">
        <f>Plan5!$G45</f>
        <v>1.1174999999999999E-9</v>
      </c>
      <c r="G36" s="6">
        <f>Plan6!$G45</f>
        <v>1.2859999999999999E-9</v>
      </c>
      <c r="H36" s="6">
        <f>Plan7!$G45</f>
        <v>1.3797999999999999E-9</v>
      </c>
      <c r="I36" s="6">
        <f>Plan8!$G45</f>
        <v>1.0867E-9</v>
      </c>
      <c r="J36" s="6">
        <f>Plan9!$G45</f>
        <v>1.4235999999999999E-9</v>
      </c>
      <c r="K36" s="6">
        <f>Plan10!$G45</f>
        <v>1.564E-9</v>
      </c>
      <c r="L36" s="7">
        <f t="shared" si="2"/>
        <v>1.190221E-9</v>
      </c>
      <c r="M36" s="6">
        <f t="shared" si="0"/>
        <v>1.0339994562446071E-9</v>
      </c>
      <c r="N36" s="6">
        <f t="shared" si="1"/>
        <v>1.3464425437553928E-9</v>
      </c>
      <c r="O36" s="6">
        <f t="shared" si="3"/>
        <v>1.5622154375539289E-10</v>
      </c>
    </row>
    <row r="37" spans="1:15" x14ac:dyDescent="0.25">
      <c r="A37" s="9">
        <v>36</v>
      </c>
      <c r="B37" s="6">
        <f>Plan1!$G46</f>
        <v>9.0751999999999998E-10</v>
      </c>
      <c r="C37" s="6">
        <f>Plan2!$G46</f>
        <v>1.1788999999999999E-9</v>
      </c>
      <c r="D37" s="6">
        <f>Plan3!$G46</f>
        <v>9.1923000000000004E-10</v>
      </c>
      <c r="E37" s="6">
        <f>Plan4!$G46</f>
        <v>9.9470999999999997E-10</v>
      </c>
      <c r="F37" s="6">
        <f>Plan5!$G46</f>
        <v>1.0850999999999999E-9</v>
      </c>
      <c r="G37" s="6">
        <f>Plan6!$G46</f>
        <v>1.2946000000000001E-9</v>
      </c>
      <c r="H37" s="6">
        <f>Plan7!$G46</f>
        <v>1.2904E-9</v>
      </c>
      <c r="I37" s="6">
        <f>Plan8!$G46</f>
        <v>1.0467999999999999E-9</v>
      </c>
      <c r="J37" s="6">
        <f>Plan9!$G46</f>
        <v>1.3651E-9</v>
      </c>
      <c r="K37" s="6">
        <f>Plan10!$G46</f>
        <v>1.4949000000000001E-9</v>
      </c>
      <c r="L37" s="7">
        <f t="shared" si="2"/>
        <v>1.1577260000000001E-9</v>
      </c>
      <c r="M37" s="6">
        <f t="shared" si="0"/>
        <v>1.0152296063687854E-9</v>
      </c>
      <c r="N37" s="6">
        <f t="shared" si="1"/>
        <v>1.3002223936312147E-9</v>
      </c>
      <c r="O37" s="6">
        <f t="shared" si="3"/>
        <v>1.4249639363121468E-10</v>
      </c>
    </row>
    <row r="38" spans="1:15" x14ac:dyDescent="0.25">
      <c r="A38" s="9">
        <v>37</v>
      </c>
      <c r="B38" s="6">
        <f>Plan1!$G47</f>
        <v>9.0059999999999997E-10</v>
      </c>
      <c r="C38" s="6">
        <f>Plan2!$G47</f>
        <v>1.1521E-9</v>
      </c>
      <c r="D38" s="6">
        <f>Plan3!$G47</f>
        <v>8.8583000000000003E-10</v>
      </c>
      <c r="E38" s="6">
        <f>Plan4!$G47</f>
        <v>9.9111999999999999E-10</v>
      </c>
      <c r="F38" s="6">
        <f>Plan5!$G47</f>
        <v>1.0628000000000001E-9</v>
      </c>
      <c r="G38" s="6">
        <f>Plan6!$G47</f>
        <v>1.2721E-9</v>
      </c>
      <c r="H38" s="6">
        <f>Plan7!$G47</f>
        <v>1.2563999999999999E-9</v>
      </c>
      <c r="I38" s="6">
        <f>Plan8!$G47</f>
        <v>1.0357000000000001E-9</v>
      </c>
      <c r="J38" s="6">
        <f>Plan9!$G47</f>
        <v>1.3472000000000001E-9</v>
      </c>
      <c r="K38" s="6">
        <f>Plan10!$G47</f>
        <v>1.4441E-9</v>
      </c>
      <c r="L38" s="7">
        <f t="shared" si="2"/>
        <v>1.1347949999999999E-9</v>
      </c>
      <c r="M38" s="6">
        <f t="shared" si="0"/>
        <v>9.9839656415465211E-10</v>
      </c>
      <c r="N38" s="6">
        <f t="shared" si="1"/>
        <v>1.2711934358453477E-9</v>
      </c>
      <c r="O38" s="6">
        <f t="shared" si="3"/>
        <v>1.3639843584534787E-10</v>
      </c>
    </row>
    <row r="39" spans="1:15" x14ac:dyDescent="0.25">
      <c r="A39" s="9">
        <v>38</v>
      </c>
      <c r="B39" s="6">
        <f>Plan1!$G48</f>
        <v>8.9658000000000002E-10</v>
      </c>
      <c r="C39" s="6">
        <f>Plan2!$G48</f>
        <v>1.1395E-9</v>
      </c>
      <c r="D39" s="6">
        <f>Plan3!$G48</f>
        <v>8.6558000000000002E-10</v>
      </c>
      <c r="E39" s="6">
        <f>Plan4!$G48</f>
        <v>9.9764000000000008E-10</v>
      </c>
      <c r="F39" s="6">
        <f>Plan5!$G48</f>
        <v>1.0082999999999999E-9</v>
      </c>
      <c r="G39" s="6">
        <f>Plan6!$G48</f>
        <v>1.2488000000000001E-9</v>
      </c>
      <c r="H39" s="6">
        <f>Plan7!$G48</f>
        <v>1.2555000000000001E-9</v>
      </c>
      <c r="I39" s="6">
        <f>Plan8!$G48</f>
        <v>1.0344000000000001E-9</v>
      </c>
      <c r="J39" s="6">
        <f>Plan9!$G48</f>
        <v>1.3304999999999999E-9</v>
      </c>
      <c r="K39" s="6">
        <f>Plan10!$G48</f>
        <v>1.4267E-9</v>
      </c>
      <c r="L39" s="7">
        <f t="shared" si="2"/>
        <v>1.12035E-9</v>
      </c>
      <c r="M39" s="6">
        <f t="shared" si="0"/>
        <v>9.8480373849292641E-10</v>
      </c>
      <c r="N39" s="6">
        <f t="shared" si="1"/>
        <v>1.2558962615070735E-9</v>
      </c>
      <c r="O39" s="6">
        <f t="shared" si="3"/>
        <v>1.3554626150707363E-10</v>
      </c>
    </row>
    <row r="40" spans="1:15" x14ac:dyDescent="0.25">
      <c r="A40" s="9">
        <v>39</v>
      </c>
      <c r="B40" s="6">
        <f>Plan1!$G49</f>
        <v>9.1093999999999996E-10</v>
      </c>
      <c r="C40" s="6">
        <f>Plan2!$G49</f>
        <v>1.1212E-9</v>
      </c>
      <c r="D40" s="6">
        <f>Plan3!$G49</f>
        <v>8.5636000000000003E-10</v>
      </c>
      <c r="E40" s="6">
        <f>Plan4!$G49</f>
        <v>9.8833000000000004E-10</v>
      </c>
      <c r="F40" s="6">
        <f>Plan5!$G49</f>
        <v>9.7888000000000004E-10</v>
      </c>
      <c r="G40" s="6">
        <f>Plan6!$G49</f>
        <v>1.2468999999999999E-9</v>
      </c>
      <c r="H40" s="6">
        <f>Plan7!$G49</f>
        <v>1.2776E-9</v>
      </c>
      <c r="I40" s="6">
        <f>Plan8!$G49</f>
        <v>9.8245999999999993E-10</v>
      </c>
      <c r="J40" s="6">
        <f>Plan9!$G49</f>
        <v>1.3116000000000001E-9</v>
      </c>
      <c r="K40" s="6">
        <f>Plan10!$G49</f>
        <v>1.4212E-9</v>
      </c>
      <c r="L40" s="7">
        <f t="shared" si="2"/>
        <v>1.1095469999999998E-9</v>
      </c>
      <c r="M40" s="6">
        <f t="shared" si="0"/>
        <v>9.7119053319753606E-10</v>
      </c>
      <c r="N40" s="6">
        <f t="shared" si="1"/>
        <v>1.2479034668024636E-9</v>
      </c>
      <c r="O40" s="6">
        <f t="shared" si="3"/>
        <v>1.3835646680246377E-10</v>
      </c>
    </row>
    <row r="41" spans="1:15" x14ac:dyDescent="0.25">
      <c r="A41" s="10">
        <v>40</v>
      </c>
      <c r="B41" s="6">
        <f>Plan1!$G50</f>
        <v>8.9187000000000004E-10</v>
      </c>
      <c r="C41" s="6">
        <f>Plan2!$G50</f>
        <v>1.101E-9</v>
      </c>
      <c r="D41" s="6">
        <f>Plan3!$G50</f>
        <v>8.2087999999999996E-10</v>
      </c>
      <c r="E41" s="6">
        <f>Plan4!$G50</f>
        <v>9.9067999999999993E-10</v>
      </c>
      <c r="F41" s="6">
        <f>Plan5!$G50</f>
        <v>9.5246000000000004E-10</v>
      </c>
      <c r="G41" s="6">
        <f>Plan6!$G50</f>
        <v>1.2378E-9</v>
      </c>
      <c r="H41" s="6">
        <f>Plan7!$G50</f>
        <v>1.3153E-9</v>
      </c>
      <c r="I41" s="6">
        <f>Plan8!$G50</f>
        <v>1.0184999999999999E-9</v>
      </c>
      <c r="J41" s="6">
        <f>Plan9!$G50</f>
        <v>1.2856E-9</v>
      </c>
      <c r="K41" s="6">
        <f>Plan10!$G50</f>
        <v>1.4097E-9</v>
      </c>
      <c r="L41" s="7">
        <f t="shared" si="2"/>
        <v>1.1023790000000002E-9</v>
      </c>
      <c r="M41" s="6">
        <f t="shared" si="0"/>
        <v>9.5985790846623409E-10</v>
      </c>
      <c r="N41" s="6">
        <f t="shared" si="1"/>
        <v>1.2449000915337663E-9</v>
      </c>
      <c r="O41" s="6">
        <f t="shared" si="3"/>
        <v>1.4252109153376606E-10</v>
      </c>
    </row>
    <row r="42" spans="1:15" x14ac:dyDescent="0.25">
      <c r="A42" s="9">
        <v>41</v>
      </c>
      <c r="B42" s="6">
        <f>Plan1!$G51</f>
        <v>8.7881999999999997E-10</v>
      </c>
      <c r="C42" s="6">
        <f>Plan2!$G51</f>
        <v>1.0738E-9</v>
      </c>
      <c r="D42" s="6">
        <f>Plan3!$G51</f>
        <v>8.0971999999999997E-10</v>
      </c>
      <c r="E42" s="6">
        <f>Plan4!$G51</f>
        <v>9.7905999999999993E-10</v>
      </c>
      <c r="F42" s="6">
        <f>Plan5!$G51</f>
        <v>9.1994000000000003E-10</v>
      </c>
      <c r="G42" s="6">
        <f>Plan6!$G51</f>
        <v>1.2138000000000001E-9</v>
      </c>
      <c r="H42" s="6">
        <f>Plan7!$G51</f>
        <v>1.2985E-9</v>
      </c>
      <c r="I42" s="6">
        <f>Plan8!$G51</f>
        <v>1.0091E-9</v>
      </c>
      <c r="J42" s="6">
        <f>Plan9!$G51</f>
        <v>1.2606E-9</v>
      </c>
      <c r="K42" s="6">
        <f>Plan10!$G51</f>
        <v>1.3961E-9</v>
      </c>
      <c r="L42" s="7">
        <f t="shared" si="2"/>
        <v>1.0839439999999999E-9</v>
      </c>
      <c r="M42" s="6">
        <f t="shared" si="0"/>
        <v>9.4238631009538674E-10</v>
      </c>
      <c r="N42" s="6">
        <f t="shared" si="1"/>
        <v>1.2255016899046131E-9</v>
      </c>
      <c r="O42" s="6">
        <f t="shared" si="3"/>
        <v>1.4155768990461325E-10</v>
      </c>
    </row>
    <row r="43" spans="1:15" x14ac:dyDescent="0.25">
      <c r="A43" s="9">
        <v>42</v>
      </c>
      <c r="B43" s="6">
        <f>Plan1!$G52</f>
        <v>8.7763E-10</v>
      </c>
      <c r="C43" s="6">
        <f>Plan2!$G52</f>
        <v>1.08E-9</v>
      </c>
      <c r="D43" s="6">
        <f>Plan3!$G52</f>
        <v>8.0448E-10</v>
      </c>
      <c r="E43" s="6">
        <f>Plan4!$G52</f>
        <v>9.6247999999999997E-10</v>
      </c>
      <c r="F43" s="6">
        <f>Plan5!$G52</f>
        <v>8.7698000000000001E-10</v>
      </c>
      <c r="G43" s="6">
        <f>Plan6!$G52</f>
        <v>1.2017999999999999E-9</v>
      </c>
      <c r="H43" s="6">
        <f>Plan7!$G52</f>
        <v>1.2812000000000001E-9</v>
      </c>
      <c r="I43" s="6">
        <f>Plan8!$G52</f>
        <v>1.0114E-9</v>
      </c>
      <c r="J43" s="6">
        <f>Plan9!$G52</f>
        <v>1.2684999999999999E-9</v>
      </c>
      <c r="K43" s="6">
        <f>Plan10!$G52</f>
        <v>1.3804999999999999E-9</v>
      </c>
      <c r="L43" s="7">
        <f t="shared" si="2"/>
        <v>1.0744970000000002E-9</v>
      </c>
      <c r="M43" s="6">
        <f t="shared" si="0"/>
        <v>9.3193417408671153E-10</v>
      </c>
      <c r="N43" s="6">
        <f t="shared" si="1"/>
        <v>1.217059825913289E-9</v>
      </c>
      <c r="O43" s="6">
        <f t="shared" si="3"/>
        <v>1.4256282591328863E-10</v>
      </c>
    </row>
    <row r="44" spans="1:15" x14ac:dyDescent="0.25">
      <c r="A44" s="9">
        <v>43</v>
      </c>
      <c r="B44" s="6">
        <f>Plan1!$G53</f>
        <v>8.7323999999999997E-10</v>
      </c>
      <c r="C44" s="6">
        <f>Plan2!$G53</f>
        <v>1.0789000000000001E-9</v>
      </c>
      <c r="D44" s="6">
        <f>Plan3!$G53</f>
        <v>7.7266E-10</v>
      </c>
      <c r="E44" s="6">
        <f>Plan4!$G53</f>
        <v>9.6745E-10</v>
      </c>
      <c r="F44" s="6">
        <f>Plan5!$G53</f>
        <v>8.5021E-10</v>
      </c>
      <c r="G44" s="6">
        <f>Plan6!$G53</f>
        <v>1.1888000000000001E-9</v>
      </c>
      <c r="H44" s="6">
        <f>Plan7!$G53</f>
        <v>1.2542000000000001E-9</v>
      </c>
      <c r="I44" s="6">
        <f>Plan8!$G53</f>
        <v>1.0150999999999999E-9</v>
      </c>
      <c r="J44" s="6">
        <f>Plan9!$G53</f>
        <v>1.2291E-9</v>
      </c>
      <c r="K44" s="6">
        <f>Plan10!$G53</f>
        <v>1.3447999999999999E-9</v>
      </c>
      <c r="L44" s="7">
        <f t="shared" si="2"/>
        <v>1.0574459999999999E-9</v>
      </c>
      <c r="M44" s="6">
        <f t="shared" si="0"/>
        <v>9.1915644305881167E-10</v>
      </c>
      <c r="N44" s="6">
        <f t="shared" si="1"/>
        <v>1.195735556941188E-9</v>
      </c>
      <c r="O44" s="6">
        <f t="shared" si="3"/>
        <v>1.3828955694118817E-10</v>
      </c>
    </row>
    <row r="45" spans="1:15" x14ac:dyDescent="0.25">
      <c r="A45" s="9">
        <v>44</v>
      </c>
      <c r="B45" s="6">
        <f>Plan1!$G54</f>
        <v>8.6507999999999997E-10</v>
      </c>
      <c r="C45" s="6">
        <f>Plan2!$G54</f>
        <v>1.0629999999999999E-9</v>
      </c>
      <c r="D45" s="6">
        <f>Plan3!$G54</f>
        <v>7.7935999999999998E-10</v>
      </c>
      <c r="E45" s="6">
        <f>Plan4!$G54</f>
        <v>9.5275000000000004E-10</v>
      </c>
      <c r="F45" s="6">
        <f>Plan5!$G54</f>
        <v>8.2921999999999996E-10</v>
      </c>
      <c r="G45" s="6">
        <f>Plan6!$G54</f>
        <v>1.1605999999999999E-9</v>
      </c>
      <c r="H45" s="6">
        <f>Plan7!$G54</f>
        <v>1.2637000000000001E-9</v>
      </c>
      <c r="I45" s="6">
        <f>Plan8!$G54</f>
        <v>1.0031E-9</v>
      </c>
      <c r="J45" s="6">
        <f>Plan9!$G54</f>
        <v>1.237E-9</v>
      </c>
      <c r="K45" s="6">
        <f>Plan10!$G54</f>
        <v>1.3184999999999999E-9</v>
      </c>
      <c r="L45" s="7">
        <f t="shared" si="2"/>
        <v>1.0472309999999998E-9</v>
      </c>
      <c r="M45" s="6">
        <f t="shared" si="0"/>
        <v>9.0965083593460424E-10</v>
      </c>
      <c r="N45" s="6">
        <f t="shared" si="1"/>
        <v>1.1848111640653954E-9</v>
      </c>
      <c r="O45" s="6">
        <f t="shared" si="3"/>
        <v>1.3758016406539553E-10</v>
      </c>
    </row>
    <row r="46" spans="1:15" x14ac:dyDescent="0.25">
      <c r="A46" s="9">
        <v>45</v>
      </c>
      <c r="B46" s="6">
        <f>Plan1!$G55</f>
        <v>8.7121000000000003E-10</v>
      </c>
      <c r="C46" s="6">
        <f>Plan2!$G55</f>
        <v>1.0702000000000001E-9</v>
      </c>
      <c r="D46" s="6">
        <f>Plan3!$G55</f>
        <v>7.5680000000000001E-10</v>
      </c>
      <c r="E46" s="6">
        <f>Plan4!$G55</f>
        <v>9.5118000000000002E-10</v>
      </c>
      <c r="F46" s="6">
        <f>Plan5!$G55</f>
        <v>7.8931000000000004E-10</v>
      </c>
      <c r="G46" s="6">
        <f>Plan6!$G55</f>
        <v>1.1559999999999999E-9</v>
      </c>
      <c r="H46" s="6">
        <f>Plan7!$G55</f>
        <v>1.2445E-9</v>
      </c>
      <c r="I46" s="6">
        <f>Plan8!$G55</f>
        <v>1.0013E-9</v>
      </c>
      <c r="J46" s="6">
        <f>Plan9!$G55</f>
        <v>1.2204E-9</v>
      </c>
      <c r="K46" s="6">
        <f>Plan10!$G55</f>
        <v>1.3217000000000001E-9</v>
      </c>
      <c r="L46" s="7">
        <f t="shared" si="2"/>
        <v>1.0382600000000001E-9</v>
      </c>
      <c r="M46" s="6">
        <f t="shared" si="0"/>
        <v>8.9739511713370585E-10</v>
      </c>
      <c r="N46" s="6">
        <f t="shared" si="1"/>
        <v>1.1791248828662943E-9</v>
      </c>
      <c r="O46" s="6">
        <f t="shared" si="3"/>
        <v>1.4086488286629429E-10</v>
      </c>
    </row>
    <row r="47" spans="1:15" x14ac:dyDescent="0.25">
      <c r="A47" s="9">
        <v>46</v>
      </c>
      <c r="B47" s="6">
        <f>Plan1!$G56</f>
        <v>8.761E-10</v>
      </c>
      <c r="C47" s="6">
        <f>Plan2!$G56</f>
        <v>1.0685E-9</v>
      </c>
      <c r="D47" s="6">
        <f>Plan3!$G56</f>
        <v>7.4346000000000004E-10</v>
      </c>
      <c r="E47" s="6">
        <f>Plan4!$G56</f>
        <v>9.4137000000000003E-10</v>
      </c>
      <c r="F47" s="6">
        <f>Plan5!$G56</f>
        <v>7.5638000000000003E-10</v>
      </c>
      <c r="G47" s="6">
        <f>Plan6!$G56</f>
        <v>1.1201999999999999E-9</v>
      </c>
      <c r="H47" s="6">
        <f>Plan7!$G56</f>
        <v>1.2124999999999999E-9</v>
      </c>
      <c r="I47" s="6">
        <f>Plan8!$G56</f>
        <v>1.0118E-9</v>
      </c>
      <c r="J47" s="6">
        <f>Plan9!$G56</f>
        <v>1.2144000000000001E-9</v>
      </c>
      <c r="K47" s="6">
        <f>Plan10!$G56</f>
        <v>1.3396E-9</v>
      </c>
      <c r="L47" s="7">
        <f t="shared" si="2"/>
        <v>1.028431E-9</v>
      </c>
      <c r="M47" s="6">
        <f t="shared" si="0"/>
        <v>8.850419862493545E-10</v>
      </c>
      <c r="N47" s="6">
        <f t="shared" si="1"/>
        <v>1.1718200137506456E-9</v>
      </c>
      <c r="O47" s="6">
        <f t="shared" si="3"/>
        <v>1.433890137506456E-10</v>
      </c>
    </row>
    <row r="48" spans="1:15" x14ac:dyDescent="0.25">
      <c r="A48" s="9">
        <v>47</v>
      </c>
      <c r="B48" s="6">
        <f>Plan1!$G57</f>
        <v>8.7456000000000003E-10</v>
      </c>
      <c r="C48" s="6">
        <f>Plan2!$G57</f>
        <v>1.0635000000000001E-9</v>
      </c>
      <c r="D48" s="6">
        <f>Plan3!$G57</f>
        <v>7.4034000000000005E-10</v>
      </c>
      <c r="E48" s="6">
        <f>Plan4!$G57</f>
        <v>9.3470999999999997E-10</v>
      </c>
      <c r="F48" s="6">
        <f>Plan5!$G57</f>
        <v>7.3855999999999998E-10</v>
      </c>
      <c r="G48" s="6">
        <f>Plan6!$G57</f>
        <v>1.1158E-9</v>
      </c>
      <c r="H48" s="6">
        <f>Plan7!$G57</f>
        <v>1.1689E-9</v>
      </c>
      <c r="I48" s="6">
        <f>Plan8!$G57</f>
        <v>1.0084E-9</v>
      </c>
      <c r="J48" s="6">
        <f>Plan9!$G57</f>
        <v>1.2333000000000001E-9</v>
      </c>
      <c r="K48" s="6">
        <f>Plan10!$G57</f>
        <v>1.3460999999999999E-9</v>
      </c>
      <c r="L48" s="7">
        <f t="shared" si="2"/>
        <v>1.0224169999999999E-9</v>
      </c>
      <c r="M48" s="6">
        <f t="shared" si="0"/>
        <v>8.7717611430502593E-10</v>
      </c>
      <c r="N48" s="6">
        <f t="shared" si="1"/>
        <v>1.1676578856949741E-9</v>
      </c>
      <c r="O48" s="6">
        <f t="shared" si="3"/>
        <v>1.4524088569497404E-10</v>
      </c>
    </row>
    <row r="49" spans="1:15" x14ac:dyDescent="0.25">
      <c r="A49" s="9">
        <v>48</v>
      </c>
      <c r="B49" s="6">
        <f>Plan1!$G58</f>
        <v>8.8312000000000005E-10</v>
      </c>
      <c r="C49" s="6">
        <f>Plan2!$G58</f>
        <v>1.0597E-9</v>
      </c>
      <c r="D49" s="6">
        <f>Plan3!$G58</f>
        <v>7.1788999999999999E-10</v>
      </c>
      <c r="E49" s="6">
        <f>Plan4!$G58</f>
        <v>9.3065999999999997E-10</v>
      </c>
      <c r="F49" s="6">
        <f>Plan5!$G58</f>
        <v>7.1318999999999999E-10</v>
      </c>
      <c r="G49" s="6">
        <f>Plan6!$G58</f>
        <v>1.1229999999999999E-9</v>
      </c>
      <c r="H49" s="6">
        <f>Plan7!$G58</f>
        <v>1.1255999999999999E-9</v>
      </c>
      <c r="I49" s="6">
        <f>Plan8!$G58</f>
        <v>1.0163999999999999E-9</v>
      </c>
      <c r="J49" s="6">
        <f>Plan9!$G58</f>
        <v>1.2055E-9</v>
      </c>
      <c r="K49" s="6">
        <f>Plan10!$G58</f>
        <v>1.3183999999999999E-9</v>
      </c>
      <c r="L49" s="7">
        <f t="shared" si="2"/>
        <v>1.009346E-9</v>
      </c>
      <c r="M49" s="6">
        <f t="shared" si="0"/>
        <v>8.6671489477486665E-10</v>
      </c>
      <c r="N49" s="6">
        <f t="shared" si="1"/>
        <v>1.1519771052251333E-9</v>
      </c>
      <c r="O49" s="6">
        <f t="shared" si="3"/>
        <v>1.426311052251333E-10</v>
      </c>
    </row>
    <row r="50" spans="1:15" x14ac:dyDescent="0.25">
      <c r="A50" s="9">
        <v>49</v>
      </c>
      <c r="B50" s="6">
        <f>Plan1!$G59</f>
        <v>8.8231000000000003E-10</v>
      </c>
      <c r="C50" s="6">
        <f>Plan2!$G59</f>
        <v>1.0688999999999999E-9</v>
      </c>
      <c r="D50" s="6">
        <f>Plan3!$G59</f>
        <v>7.2591000000000003E-10</v>
      </c>
      <c r="E50" s="6">
        <f>Plan4!$G59</f>
        <v>9.2842999999999997E-10</v>
      </c>
      <c r="F50" s="6">
        <f>Plan5!$G59</f>
        <v>6.6834999999999997E-10</v>
      </c>
      <c r="G50" s="6">
        <f>Plan6!$G59</f>
        <v>1.1221000000000001E-9</v>
      </c>
      <c r="H50" s="6">
        <f>Plan7!$G59</f>
        <v>1.1011000000000001E-9</v>
      </c>
      <c r="I50" s="6">
        <f>Plan8!$G59</f>
        <v>1.0049999999999999E-9</v>
      </c>
      <c r="J50" s="6">
        <f>Plan9!$G59</f>
        <v>1.2104000000000001E-9</v>
      </c>
      <c r="K50" s="6">
        <f>Plan10!$G59</f>
        <v>1.3204999999999999E-9</v>
      </c>
      <c r="L50" s="7">
        <f t="shared" si="2"/>
        <v>1.0033E-9</v>
      </c>
      <c r="M50" s="6">
        <f t="shared" si="0"/>
        <v>8.5613965076778128E-10</v>
      </c>
      <c r="N50" s="6">
        <f t="shared" si="1"/>
        <v>1.1504603492322187E-9</v>
      </c>
      <c r="O50" s="6">
        <f t="shared" si="3"/>
        <v>1.4716034923221876E-10</v>
      </c>
    </row>
    <row r="51" spans="1:15" x14ac:dyDescent="0.25">
      <c r="A51" s="10">
        <v>50</v>
      </c>
      <c r="B51" s="6">
        <f>Plan1!$G60</f>
        <v>8.7127000000000003E-10</v>
      </c>
      <c r="C51" s="6">
        <f>Plan2!$G60</f>
        <v>1.0600000000000001E-9</v>
      </c>
      <c r="D51" s="6">
        <f>Plan3!$G60</f>
        <v>7.0870000000000004E-10</v>
      </c>
      <c r="E51" s="6">
        <f>Plan4!$G60</f>
        <v>9.3005000000000001E-10</v>
      </c>
      <c r="F51" s="6">
        <f>Plan5!$G60</f>
        <v>6.5492000000000005E-10</v>
      </c>
      <c r="G51" s="6">
        <f>Plan6!$G60</f>
        <v>1.1218E-9</v>
      </c>
      <c r="H51" s="6">
        <f>Plan7!$G60</f>
        <v>1.1011000000000001E-9</v>
      </c>
      <c r="I51" s="6">
        <f>Plan8!$G60</f>
        <v>1.0261E-9</v>
      </c>
      <c r="J51" s="6">
        <f>Plan9!$G60</f>
        <v>1.1861000000000001E-9</v>
      </c>
      <c r="K51" s="6">
        <f>Plan10!$G60</f>
        <v>1.3176999999999999E-9</v>
      </c>
      <c r="L51" s="7">
        <f t="shared" si="2"/>
        <v>9.9777399999999999E-10</v>
      </c>
      <c r="M51" s="6">
        <f t="shared" si="0"/>
        <v>8.4881192492890494E-10</v>
      </c>
      <c r="N51" s="6">
        <f t="shared" si="1"/>
        <v>1.146736075071095E-9</v>
      </c>
      <c r="O51" s="6">
        <f t="shared" si="3"/>
        <v>1.4896207507109505E-10</v>
      </c>
    </row>
    <row r="52" spans="1:15" x14ac:dyDescent="0.25">
      <c r="A52" s="9">
        <v>51</v>
      </c>
      <c r="B52" s="6">
        <f>Plan1!$G61</f>
        <v>8.6524E-10</v>
      </c>
      <c r="C52" s="6">
        <f>Plan2!$G61</f>
        <v>1.0494999999999999E-9</v>
      </c>
      <c r="D52" s="6">
        <f>Plan3!$G61</f>
        <v>7.1317000000000003E-10</v>
      </c>
      <c r="E52" s="6">
        <f>Plan4!$G61</f>
        <v>9.2575000000000003E-10</v>
      </c>
      <c r="F52" s="6">
        <f>Plan5!$G61</f>
        <v>6.3816999999999998E-10</v>
      </c>
      <c r="G52" s="6">
        <f>Plan6!$G61</f>
        <v>1.0870000000000001E-9</v>
      </c>
      <c r="H52" s="6">
        <f>Plan7!$G61</f>
        <v>1.1213E-9</v>
      </c>
      <c r="I52" s="6">
        <f>Plan8!$G61</f>
        <v>1.0162000000000001E-9</v>
      </c>
      <c r="J52" s="6">
        <f>Plan9!$G61</f>
        <v>1.1734999999999999E-9</v>
      </c>
      <c r="K52" s="6">
        <f>Plan10!$G61</f>
        <v>1.3186E-9</v>
      </c>
      <c r="L52" s="7">
        <f t="shared" si="2"/>
        <v>9.9084299999999999E-10</v>
      </c>
      <c r="M52" s="6">
        <f t="shared" si="0"/>
        <v>8.4142817081576074E-10</v>
      </c>
      <c r="N52" s="6">
        <f t="shared" si="1"/>
        <v>1.1402578291842392E-9</v>
      </c>
      <c r="O52" s="6">
        <f t="shared" si="3"/>
        <v>1.4941482918423928E-10</v>
      </c>
    </row>
    <row r="53" spans="1:15" x14ac:dyDescent="0.25">
      <c r="A53" s="9">
        <v>52</v>
      </c>
      <c r="B53" s="6">
        <f>Plan1!$G62</f>
        <v>8.7162000000000004E-10</v>
      </c>
      <c r="C53" s="6">
        <f>Plan2!$G62</f>
        <v>1.0593000000000001E-9</v>
      </c>
      <c r="D53" s="6">
        <f>Plan3!$G62</f>
        <v>7.1258000000000004E-10</v>
      </c>
      <c r="E53" s="6">
        <f>Plan4!$G62</f>
        <v>9.2748999999999997E-10</v>
      </c>
      <c r="F53" s="6">
        <f>Plan5!$G62</f>
        <v>6.1542000000000003E-10</v>
      </c>
      <c r="G53" s="6">
        <f>Plan6!$G62</f>
        <v>1.0864000000000001E-9</v>
      </c>
      <c r="H53" s="6">
        <f>Plan7!$G62</f>
        <v>1.1127999999999999E-9</v>
      </c>
      <c r="I53" s="6">
        <f>Plan8!$G62</f>
        <v>1.0263000000000001E-9</v>
      </c>
      <c r="J53" s="6">
        <f>Plan9!$G62</f>
        <v>1.169E-9</v>
      </c>
      <c r="K53" s="6">
        <f>Plan10!$G62</f>
        <v>1.3231999999999999E-9</v>
      </c>
      <c r="L53" s="7">
        <f t="shared" si="2"/>
        <v>9.90411E-10</v>
      </c>
      <c r="M53" s="6">
        <f t="shared" si="0"/>
        <v>8.3796035003265541E-10</v>
      </c>
      <c r="N53" s="6">
        <f t="shared" si="1"/>
        <v>1.1428616499673446E-9</v>
      </c>
      <c r="O53" s="6">
        <f t="shared" si="3"/>
        <v>1.5245064996734457E-10</v>
      </c>
    </row>
    <row r="54" spans="1:15" x14ac:dyDescent="0.25">
      <c r="A54" s="9">
        <v>53</v>
      </c>
      <c r="B54" s="6">
        <f>Plan1!$G63</f>
        <v>8.5635000000000005E-10</v>
      </c>
      <c r="C54" s="6">
        <f>Plan2!$G63</f>
        <v>1.0536E-9</v>
      </c>
      <c r="D54" s="6">
        <f>Plan3!$G63</f>
        <v>7.1164000000000004E-10</v>
      </c>
      <c r="E54" s="6">
        <f>Plan4!$G63</f>
        <v>9.2155999999999997E-10</v>
      </c>
      <c r="F54" s="6">
        <f>Plan5!$G63</f>
        <v>5.7985000000000002E-10</v>
      </c>
      <c r="G54" s="6">
        <f>Plan6!$G63</f>
        <v>1.0752E-9</v>
      </c>
      <c r="H54" s="6">
        <f>Plan7!$G63</f>
        <v>1.1141999999999999E-9</v>
      </c>
      <c r="I54" s="6">
        <f>Plan8!$G63</f>
        <v>1.0216000000000001E-9</v>
      </c>
      <c r="J54" s="6">
        <f>Plan9!$G63</f>
        <v>1.1343999999999999E-9</v>
      </c>
      <c r="K54" s="6">
        <f>Plan10!$G63</f>
        <v>1.3375E-9</v>
      </c>
      <c r="L54" s="7">
        <f t="shared" si="2"/>
        <v>9.8059000000000002E-10</v>
      </c>
      <c r="M54" s="6">
        <f t="shared" si="0"/>
        <v>8.230121745597566E-10</v>
      </c>
      <c r="N54" s="6">
        <f t="shared" si="1"/>
        <v>1.1381678254402435E-9</v>
      </c>
      <c r="O54" s="6">
        <f t="shared" si="3"/>
        <v>1.575778254402434E-10</v>
      </c>
    </row>
    <row r="55" spans="1:15" x14ac:dyDescent="0.25">
      <c r="A55" s="9">
        <v>54</v>
      </c>
      <c r="B55" s="6">
        <f>Plan1!$G64</f>
        <v>8.5837999999999999E-10</v>
      </c>
      <c r="C55" s="6">
        <f>Plan2!$G64</f>
        <v>1.0437E-9</v>
      </c>
      <c r="D55" s="6">
        <f>Plan3!$G64</f>
        <v>7.2253999999999997E-10</v>
      </c>
      <c r="E55" s="6">
        <f>Plan4!$G64</f>
        <v>9.2829000000000001E-10</v>
      </c>
      <c r="F55" s="6">
        <f>Plan5!$G64</f>
        <v>5.7986999999999998E-10</v>
      </c>
      <c r="G55" s="6">
        <f>Plan6!$G64</f>
        <v>1.0816000000000001E-9</v>
      </c>
      <c r="H55" s="6">
        <f>Plan7!$G64</f>
        <v>1.1123E-9</v>
      </c>
      <c r="I55" s="6">
        <f>Plan8!$G64</f>
        <v>1.035E-9</v>
      </c>
      <c r="J55" s="6">
        <f>Plan9!$G64</f>
        <v>1.1404999999999999E-9</v>
      </c>
      <c r="K55" s="6">
        <f>Plan10!$G64</f>
        <v>1.3402E-9</v>
      </c>
      <c r="L55" s="7">
        <f t="shared" si="2"/>
        <v>9.8423800000000009E-10</v>
      </c>
      <c r="M55" s="6">
        <f t="shared" si="0"/>
        <v>8.2713281085923647E-10</v>
      </c>
      <c r="N55" s="6">
        <f t="shared" si="1"/>
        <v>1.1413431891407637E-9</v>
      </c>
      <c r="O55" s="6">
        <f t="shared" si="3"/>
        <v>1.571051891407636E-10</v>
      </c>
    </row>
    <row r="56" spans="1:15" x14ac:dyDescent="0.25">
      <c r="A56" s="9">
        <v>55</v>
      </c>
      <c r="B56" s="6">
        <f>Plan1!$G65</f>
        <v>8.6588999999999999E-10</v>
      </c>
      <c r="C56" s="6">
        <f>Plan2!$G65</f>
        <v>1.0511E-9</v>
      </c>
      <c r="D56" s="6">
        <f>Plan3!$G65</f>
        <v>7.0789000000000002E-10</v>
      </c>
      <c r="E56" s="6">
        <f>Plan4!$G65</f>
        <v>9.3229999999999998E-10</v>
      </c>
      <c r="F56" s="6">
        <f>Plan5!$G65</f>
        <v>5.8532E-10</v>
      </c>
      <c r="G56" s="6">
        <f>Plan6!$G65</f>
        <v>1.0850999999999999E-9</v>
      </c>
      <c r="H56" s="6">
        <f>Plan7!$G65</f>
        <v>1.1137E-9</v>
      </c>
      <c r="I56" s="6">
        <f>Plan8!$G65</f>
        <v>1.0284000000000001E-9</v>
      </c>
      <c r="J56" s="6">
        <f>Plan9!$G65</f>
        <v>1.1299E-9</v>
      </c>
      <c r="K56" s="6">
        <f>Plan10!$G65</f>
        <v>1.3265999999999999E-9</v>
      </c>
      <c r="L56" s="7">
        <f t="shared" si="2"/>
        <v>9.8261999999999986E-10</v>
      </c>
      <c r="M56" s="6">
        <f t="shared" si="0"/>
        <v>8.2735753118438717E-10</v>
      </c>
      <c r="N56" s="6">
        <f t="shared" si="1"/>
        <v>1.1378824688156127E-9</v>
      </c>
      <c r="O56" s="6">
        <f t="shared" si="3"/>
        <v>1.5526246881561272E-10</v>
      </c>
    </row>
    <row r="57" spans="1:15" x14ac:dyDescent="0.25">
      <c r="A57" s="9">
        <v>56</v>
      </c>
      <c r="B57" s="6">
        <f>Plan1!$G66</f>
        <v>8.7076E-10</v>
      </c>
      <c r="C57" s="6">
        <f>Plan2!$G66</f>
        <v>1.0462E-9</v>
      </c>
      <c r="D57" s="6">
        <f>Plan3!$G66</f>
        <v>7.2479000000000004E-10</v>
      </c>
      <c r="E57" s="6">
        <f>Plan4!$G66</f>
        <v>9.2617000000000002E-10</v>
      </c>
      <c r="F57" s="6">
        <f>Plan5!$G66</f>
        <v>5.5695000000000003E-10</v>
      </c>
      <c r="G57" s="6">
        <f>Plan6!$G66</f>
        <v>1.0624E-9</v>
      </c>
      <c r="H57" s="6">
        <f>Plan7!$G66</f>
        <v>1.1042E-9</v>
      </c>
      <c r="I57" s="6">
        <f>Plan8!$G66</f>
        <v>1.0277000000000001E-9</v>
      </c>
      <c r="J57" s="6">
        <f>Plan9!$G66</f>
        <v>1.1261000000000001E-9</v>
      </c>
      <c r="K57" s="6">
        <f>Plan10!$G66</f>
        <v>1.3332999999999999E-9</v>
      </c>
      <c r="L57" s="7">
        <f t="shared" si="2"/>
        <v>9.7785700000000005E-10</v>
      </c>
      <c r="M57" s="6">
        <f t="shared" si="0"/>
        <v>8.2078084711278738E-10</v>
      </c>
      <c r="N57" s="6">
        <f t="shared" si="1"/>
        <v>1.1349331528872128E-9</v>
      </c>
      <c r="O57" s="6">
        <f t="shared" si="3"/>
        <v>1.5707615288721269E-10</v>
      </c>
    </row>
    <row r="58" spans="1:15" x14ac:dyDescent="0.25">
      <c r="A58" s="9">
        <v>57</v>
      </c>
      <c r="B58" s="6">
        <f>Plan1!$G67</f>
        <v>8.7223999999999998E-10</v>
      </c>
      <c r="C58" s="6">
        <f>Plan2!$G67</f>
        <v>1.0358000000000001E-9</v>
      </c>
      <c r="D58" s="6">
        <f>Plan3!$G67</f>
        <v>7.2293E-10</v>
      </c>
      <c r="E58" s="6">
        <f>Plan4!$G67</f>
        <v>9.332799999999999E-10</v>
      </c>
      <c r="F58" s="6">
        <f>Plan5!$G67</f>
        <v>5.6348E-10</v>
      </c>
      <c r="G58" s="6">
        <f>Plan6!$G67</f>
        <v>1.0644E-9</v>
      </c>
      <c r="H58" s="6">
        <f>Plan7!$G67</f>
        <v>1.1025000000000001E-9</v>
      </c>
      <c r="I58" s="6">
        <f>Plan8!$G67</f>
        <v>1.0345999999999999E-9</v>
      </c>
      <c r="J58" s="6">
        <f>Plan9!$G67</f>
        <v>1.1241000000000001E-9</v>
      </c>
      <c r="K58" s="6">
        <f>Plan10!$G67</f>
        <v>1.3497E-9</v>
      </c>
      <c r="L58" s="7">
        <f t="shared" si="2"/>
        <v>9.8030299999999973E-10</v>
      </c>
      <c r="M58" s="6">
        <f t="shared" si="0"/>
        <v>8.2230513390387874E-10</v>
      </c>
      <c r="N58" s="6">
        <f t="shared" si="1"/>
        <v>1.1383008660961207E-9</v>
      </c>
      <c r="O58" s="6">
        <f t="shared" si="3"/>
        <v>1.5799786609612094E-10</v>
      </c>
    </row>
    <row r="59" spans="1:15" x14ac:dyDescent="0.25">
      <c r="A59" s="9">
        <v>58</v>
      </c>
      <c r="B59" s="6">
        <f>Plan1!$G68</f>
        <v>8.8095000000000004E-10</v>
      </c>
      <c r="C59" s="6">
        <f>Plan2!$G68</f>
        <v>1.0458E-9</v>
      </c>
      <c r="D59" s="6">
        <f>Plan3!$G68</f>
        <v>7.2242999999999995E-10</v>
      </c>
      <c r="E59" s="6">
        <f>Plan4!$G68</f>
        <v>9.3066999999999995E-10</v>
      </c>
      <c r="F59" s="6">
        <f>Plan5!$G68</f>
        <v>5.6097999999999996E-10</v>
      </c>
      <c r="G59" s="6">
        <f>Plan6!$G68</f>
        <v>1.0754E-9</v>
      </c>
      <c r="H59" s="6">
        <f>Plan7!$G68</f>
        <v>1.0821E-9</v>
      </c>
      <c r="I59" s="6">
        <f>Plan8!$G68</f>
        <v>1.0295E-9</v>
      </c>
      <c r="J59" s="6">
        <f>Plan9!$G68</f>
        <v>1.1221000000000001E-9</v>
      </c>
      <c r="K59" s="6">
        <f>Plan10!$G68</f>
        <v>1.355E-9</v>
      </c>
      <c r="L59" s="7">
        <f t="shared" si="2"/>
        <v>9.8049299999999991E-10</v>
      </c>
      <c r="M59" s="6">
        <f t="shared" si="0"/>
        <v>8.2209086483496778E-10</v>
      </c>
      <c r="N59" s="6">
        <f t="shared" si="1"/>
        <v>1.1388951351650321E-9</v>
      </c>
      <c r="O59" s="6">
        <f t="shared" si="3"/>
        <v>1.5840213516503216E-10</v>
      </c>
    </row>
    <row r="60" spans="1:15" x14ac:dyDescent="0.25">
      <c r="A60" s="9">
        <v>59</v>
      </c>
      <c r="B60" s="6">
        <f>Plan1!$G69</f>
        <v>8.7140000000000001E-10</v>
      </c>
      <c r="C60" s="6">
        <f>Plan2!$G69</f>
        <v>1.0426000000000001E-9</v>
      </c>
      <c r="D60" s="6">
        <f>Plan3!$G69</f>
        <v>7.3002000000000003E-10</v>
      </c>
      <c r="E60" s="6">
        <f>Plan4!$G69</f>
        <v>9.2668000000000005E-10</v>
      </c>
      <c r="F60" s="6">
        <f>Plan5!$G69</f>
        <v>5.4342999999999995E-10</v>
      </c>
      <c r="G60" s="6">
        <f>Plan6!$G69</f>
        <v>1.0836000000000001E-9</v>
      </c>
      <c r="H60" s="6">
        <f>Plan7!$G69</f>
        <v>1.0446999999999999E-9</v>
      </c>
      <c r="I60" s="6">
        <f>Plan8!$G69</f>
        <v>1.0412999999999999E-9</v>
      </c>
      <c r="J60" s="6">
        <f>Plan9!$G69</f>
        <v>1.1043E-9</v>
      </c>
      <c r="K60" s="6">
        <f>Plan10!$G69</f>
        <v>1.3648000000000001E-9</v>
      </c>
      <c r="L60" s="7">
        <f t="shared" si="2"/>
        <v>9.7528299999999989E-10</v>
      </c>
      <c r="M60" s="6">
        <f t="shared" si="0"/>
        <v>8.1468313936759731E-10</v>
      </c>
      <c r="N60" s="6">
        <f t="shared" si="1"/>
        <v>1.1358828606324025E-9</v>
      </c>
      <c r="O60" s="6">
        <f t="shared" si="3"/>
        <v>1.6059986063240257E-10</v>
      </c>
    </row>
    <row r="61" spans="1:15" x14ac:dyDescent="0.25">
      <c r="A61" s="10">
        <v>60</v>
      </c>
      <c r="B61" s="6">
        <f>Plan1!$G70</f>
        <v>8.7441999999999996E-10</v>
      </c>
      <c r="C61" s="6">
        <f>Plan2!$G70</f>
        <v>1.0331999999999999E-9</v>
      </c>
      <c r="D61" s="6">
        <f>Plan3!$G70</f>
        <v>7.2744000000000002E-10</v>
      </c>
      <c r="E61" s="6">
        <f>Plan4!$G70</f>
        <v>9.3286000000000002E-10</v>
      </c>
      <c r="F61" s="6">
        <f>Plan5!$G70</f>
        <v>5.4045000000000003E-10</v>
      </c>
      <c r="G61" s="6">
        <f>Plan6!$G70</f>
        <v>1.0705E-9</v>
      </c>
      <c r="H61" s="6">
        <f>Plan7!$G70</f>
        <v>1.0378000000000001E-9</v>
      </c>
      <c r="I61" s="6">
        <f>Plan8!$G70</f>
        <v>1.0426000000000001E-9</v>
      </c>
      <c r="J61" s="6">
        <f>Plan9!$G70</f>
        <v>1.0883000000000001E-9</v>
      </c>
      <c r="K61" s="6">
        <f>Plan10!$G70</f>
        <v>1.3649999999999999E-9</v>
      </c>
      <c r="L61" s="7">
        <f t="shared" si="2"/>
        <v>9.7125699999999968E-10</v>
      </c>
      <c r="M61" s="6">
        <f t="shared" si="0"/>
        <v>8.1168453927757188E-10</v>
      </c>
      <c r="N61" s="6">
        <f t="shared" si="1"/>
        <v>1.1308294607224275E-9</v>
      </c>
      <c r="O61" s="6">
        <f t="shared" si="3"/>
        <v>1.5957246072242785E-10</v>
      </c>
    </row>
    <row r="62" spans="1:15" x14ac:dyDescent="0.25">
      <c r="A62" s="9">
        <v>61</v>
      </c>
      <c r="B62" s="6">
        <f>Plan1!$G71</f>
        <v>8.7490000000000005E-10</v>
      </c>
      <c r="C62" s="6">
        <f>Plan2!$G71</f>
        <v>1.0371000000000001E-9</v>
      </c>
      <c r="D62" s="6">
        <f>Plan3!$G71</f>
        <v>7.3051999999999998E-10</v>
      </c>
      <c r="E62" s="6">
        <f>Plan4!$G71</f>
        <v>9.3354000000000007E-10</v>
      </c>
      <c r="F62" s="6">
        <f>Plan5!$G71</f>
        <v>5.2862999999999996E-10</v>
      </c>
      <c r="G62" s="6">
        <f>Plan6!$G71</f>
        <v>1.0558E-9</v>
      </c>
      <c r="H62" s="6">
        <f>Plan7!$G71</f>
        <v>1.0026E-9</v>
      </c>
      <c r="I62" s="6">
        <f>Plan8!$G71</f>
        <v>1.0268E-9</v>
      </c>
      <c r="J62" s="6">
        <f>Plan9!$G71</f>
        <v>1.0733E-9</v>
      </c>
      <c r="K62" s="6">
        <f>Plan10!$G71</f>
        <v>1.3739E-9</v>
      </c>
      <c r="L62" s="7">
        <f t="shared" si="2"/>
        <v>9.6370900000000007E-10</v>
      </c>
      <c r="M62" s="6">
        <f t="shared" si="0"/>
        <v>8.0337843982422717E-10</v>
      </c>
      <c r="N62" s="6">
        <f t="shared" si="1"/>
        <v>1.1240395601757731E-9</v>
      </c>
      <c r="O62" s="6">
        <f t="shared" si="3"/>
        <v>1.6033056017577292E-10</v>
      </c>
    </row>
    <row r="63" spans="1:15" x14ac:dyDescent="0.25">
      <c r="A63" s="9">
        <v>62</v>
      </c>
      <c r="B63" s="6">
        <f>Plan1!$G72</f>
        <v>8.7974999999999999E-10</v>
      </c>
      <c r="C63" s="6">
        <f>Plan2!$G72</f>
        <v>1.0396E-9</v>
      </c>
      <c r="D63" s="6">
        <f>Plan3!$G72</f>
        <v>7.3149000000000002E-10</v>
      </c>
      <c r="E63" s="6">
        <f>Plan4!$G72</f>
        <v>9.3219000000000007E-10</v>
      </c>
      <c r="F63" s="6">
        <f>Plan5!$G72</f>
        <v>5.289E-10</v>
      </c>
      <c r="G63" s="6">
        <f>Plan6!$G72</f>
        <v>1.0472000000000001E-9</v>
      </c>
      <c r="H63" s="6">
        <f>Plan7!$G72</f>
        <v>9.6536999999999995E-10</v>
      </c>
      <c r="I63" s="6">
        <f>Plan8!$G72</f>
        <v>1.0294E-9</v>
      </c>
      <c r="J63" s="6">
        <f>Plan9!$G72</f>
        <v>1.0443E-9</v>
      </c>
      <c r="K63" s="6">
        <f>Plan10!$G72</f>
        <v>1.3857000000000001E-9</v>
      </c>
      <c r="L63" s="7">
        <f t="shared" si="2"/>
        <v>9.5839000000000004E-10</v>
      </c>
      <c r="M63" s="6">
        <f t="shared" si="0"/>
        <v>7.9801177054585405E-10</v>
      </c>
      <c r="N63" s="6">
        <f t="shared" si="1"/>
        <v>1.118768229454146E-9</v>
      </c>
      <c r="O63" s="6">
        <f t="shared" si="3"/>
        <v>1.6037822945414604E-10</v>
      </c>
    </row>
    <row r="64" spans="1:15" x14ac:dyDescent="0.25">
      <c r="A64" s="9">
        <v>63</v>
      </c>
      <c r="B64" s="6">
        <f>Plan1!$G73</f>
        <v>8.8363999999999996E-10</v>
      </c>
      <c r="C64" s="6">
        <f>Plan2!$G73</f>
        <v>1.0345000000000001E-9</v>
      </c>
      <c r="D64" s="6">
        <f>Plan3!$G73</f>
        <v>7.3823000000000004E-10</v>
      </c>
      <c r="E64" s="6">
        <f>Plan4!$G73</f>
        <v>9.2565999999999999E-10</v>
      </c>
      <c r="F64" s="6">
        <f>Plan5!$G73</f>
        <v>5.0776000000000001E-10</v>
      </c>
      <c r="G64" s="6">
        <f>Plan6!$G73</f>
        <v>1.0385999999999999E-9</v>
      </c>
      <c r="H64" s="6">
        <f>Plan7!$G73</f>
        <v>9.2271000000000001E-10</v>
      </c>
      <c r="I64" s="6">
        <f>Plan8!$G73</f>
        <v>1.0193E-9</v>
      </c>
      <c r="J64" s="6">
        <f>Plan9!$G73</f>
        <v>1.0477E-9</v>
      </c>
      <c r="K64" s="6">
        <f>Plan10!$G73</f>
        <v>1.3896E-9</v>
      </c>
      <c r="L64" s="7">
        <f t="shared" si="2"/>
        <v>9.5077000000000022E-10</v>
      </c>
      <c r="M64" s="6">
        <f t="shared" si="0"/>
        <v>7.8751394867673407E-10</v>
      </c>
      <c r="N64" s="6">
        <f t="shared" si="1"/>
        <v>1.1140260513232664E-9</v>
      </c>
      <c r="O64" s="6">
        <f t="shared" si="3"/>
        <v>1.632560513232661E-10</v>
      </c>
    </row>
    <row r="65" spans="1:15" x14ac:dyDescent="0.25">
      <c r="A65" s="9">
        <v>64</v>
      </c>
      <c r="B65" s="6">
        <f>Plan1!$G74</f>
        <v>8.8937999999999998E-10</v>
      </c>
      <c r="C65" s="6">
        <f>Plan2!$G74</f>
        <v>1.0310000000000001E-9</v>
      </c>
      <c r="D65" s="6">
        <f>Plan3!$G74</f>
        <v>7.3279000000000001E-10</v>
      </c>
      <c r="E65" s="6">
        <f>Plan4!$G74</f>
        <v>9.2432999999999995E-10</v>
      </c>
      <c r="F65" s="6">
        <f>Plan5!$G74</f>
        <v>5.0882999999999999E-10</v>
      </c>
      <c r="G65" s="6">
        <f>Plan6!$G74</f>
        <v>1.0322E-9</v>
      </c>
      <c r="H65" s="6">
        <f>Plan7!$G74</f>
        <v>9.1436000000000004E-10</v>
      </c>
      <c r="I65" s="6">
        <f>Plan8!$G74</f>
        <v>1.0255E-9</v>
      </c>
      <c r="J65" s="6">
        <f>Plan9!$G74</f>
        <v>1.0281E-9</v>
      </c>
      <c r="K65" s="6">
        <f>Plan10!$G74</f>
        <v>1.3888E-9</v>
      </c>
      <c r="L65" s="7">
        <f t="shared" si="2"/>
        <v>9.4752900000000003E-10</v>
      </c>
      <c r="M65" s="6">
        <f t="shared" si="0"/>
        <v>7.8492320565563816E-10</v>
      </c>
      <c r="N65" s="6">
        <f t="shared" si="1"/>
        <v>1.1101347943443619E-9</v>
      </c>
      <c r="O65" s="6">
        <f t="shared" si="3"/>
        <v>1.6260579434436184E-10</v>
      </c>
    </row>
    <row r="66" spans="1:15" x14ac:dyDescent="0.25">
      <c r="A66" s="9">
        <v>65</v>
      </c>
      <c r="B66" s="6">
        <f>Plan1!$G75</f>
        <v>8.9194000000000002E-10</v>
      </c>
      <c r="C66" s="6">
        <f>Plan2!$G75</f>
        <v>1.0365999999999999E-9</v>
      </c>
      <c r="D66" s="6">
        <f>Plan3!$G75</f>
        <v>7.2961000000000003E-10</v>
      </c>
      <c r="E66" s="6">
        <f>Plan4!$G75</f>
        <v>9.1897999999999996E-10</v>
      </c>
      <c r="F66" s="6">
        <f>Plan5!$G75</f>
        <v>5.1645000000000001E-10</v>
      </c>
      <c r="G66" s="6">
        <f>Plan6!$G75</f>
        <v>1.0318999999999999E-9</v>
      </c>
      <c r="H66" s="6">
        <f>Plan7!$G75</f>
        <v>8.8519000000000002E-10</v>
      </c>
      <c r="I66" s="6">
        <f>Plan8!$G75</f>
        <v>1.0277999999999999E-9</v>
      </c>
      <c r="J66" s="6">
        <f>Plan9!$G75</f>
        <v>1.0084E-9</v>
      </c>
      <c r="K66" s="6">
        <f>Plan10!$G75</f>
        <v>1.3945999999999999E-9</v>
      </c>
      <c r="L66" s="7">
        <f t="shared" si="2"/>
        <v>9.4414700000000017E-10</v>
      </c>
      <c r="M66" s="6">
        <f t="shared" ref="M66:M88" si="4">L66-O66</f>
        <v>7.8135757662996222E-10</v>
      </c>
      <c r="N66" s="6">
        <f t="shared" ref="N66:N88" si="5">L66+O66</f>
        <v>1.1069364233700381E-9</v>
      </c>
      <c r="O66" s="6">
        <f t="shared" si="3"/>
        <v>1.6278942337003795E-10</v>
      </c>
    </row>
    <row r="67" spans="1:15" x14ac:dyDescent="0.25">
      <c r="A67" s="9">
        <v>66</v>
      </c>
      <c r="B67" s="6">
        <f>Plan1!$G76</f>
        <v>8.8714E-10</v>
      </c>
      <c r="C67" s="6">
        <f>Plan2!$G76</f>
        <v>1.0227E-9</v>
      </c>
      <c r="D67" s="6">
        <f>Plan3!$G76</f>
        <v>7.3420000000000001E-10</v>
      </c>
      <c r="E67" s="6">
        <f>Plan4!$G76</f>
        <v>9.1407000000000003E-10</v>
      </c>
      <c r="F67" s="6">
        <f>Plan5!$G76</f>
        <v>5.0111000000000004E-10</v>
      </c>
      <c r="G67" s="6">
        <f>Plan6!$G76</f>
        <v>1.0283000000000001E-9</v>
      </c>
      <c r="H67" s="6">
        <f>Plan7!$G76</f>
        <v>8.7210000000000002E-10</v>
      </c>
      <c r="I67" s="6">
        <f>Plan8!$G76</f>
        <v>1.0223000000000001E-9</v>
      </c>
      <c r="J67" s="6">
        <f>Plan9!$G76</f>
        <v>1.0021000000000001E-9</v>
      </c>
      <c r="K67" s="6">
        <f>Plan10!$G76</f>
        <v>1.3971000000000001E-9</v>
      </c>
      <c r="L67" s="7">
        <f t="shared" ref="L67:L88" si="6">AVERAGE(B67:K67)</f>
        <v>9.38112E-10</v>
      </c>
      <c r="M67" s="6">
        <f t="shared" si="4"/>
        <v>7.7338552002743722E-10</v>
      </c>
      <c r="N67" s="6">
        <f t="shared" si="5"/>
        <v>1.1028384799725628E-9</v>
      </c>
      <c r="O67" s="6">
        <f t="shared" ref="O67:O88" si="7">_xlfn.CONFIDENCE.T(0.05,_xlfn.STDEV.S(B67:K67),COUNTA(B67:K67))</f>
        <v>1.647264799725628E-10</v>
      </c>
    </row>
    <row r="68" spans="1:15" x14ac:dyDescent="0.25">
      <c r="A68" s="9">
        <v>67</v>
      </c>
      <c r="B68" s="6">
        <f>Plan1!$G77</f>
        <v>8.8888000000000004E-10</v>
      </c>
      <c r="C68" s="6">
        <f>Plan2!$G77</f>
        <v>1.0207E-9</v>
      </c>
      <c r="D68" s="6">
        <f>Plan3!$G77</f>
        <v>7.3021999999999999E-10</v>
      </c>
      <c r="E68" s="6">
        <f>Plan4!$G77</f>
        <v>9.1148000000000004E-10</v>
      </c>
      <c r="F68" s="6">
        <f>Plan5!$G77</f>
        <v>5.1361000000000005E-10</v>
      </c>
      <c r="G68" s="6">
        <f>Plan6!$G77</f>
        <v>1.0372000000000001E-9</v>
      </c>
      <c r="H68" s="6">
        <f>Plan7!$G77</f>
        <v>8.7731000000000004E-10</v>
      </c>
      <c r="I68" s="6">
        <f>Plan8!$G77</f>
        <v>1.0234E-9</v>
      </c>
      <c r="J68" s="6">
        <f>Plan9!$G77</f>
        <v>9.7922000000000006E-10</v>
      </c>
      <c r="K68" s="6">
        <f>Plan10!$G77</f>
        <v>1.4078E-9</v>
      </c>
      <c r="L68" s="7">
        <f t="shared" si="6"/>
        <v>9.3898200000000022E-10</v>
      </c>
      <c r="M68" s="6">
        <f t="shared" si="4"/>
        <v>7.7438886938783928E-10</v>
      </c>
      <c r="N68" s="6">
        <f t="shared" si="5"/>
        <v>1.1035751306121611E-9</v>
      </c>
      <c r="O68" s="6">
        <f t="shared" si="7"/>
        <v>1.6459313061216091E-10</v>
      </c>
    </row>
    <row r="69" spans="1:15" x14ac:dyDescent="0.25">
      <c r="A69" s="9">
        <v>68</v>
      </c>
      <c r="B69" s="6">
        <f>Plan1!$G78</f>
        <v>8.8409999999999998E-10</v>
      </c>
      <c r="C69" s="6">
        <f>Plan2!$G78</f>
        <v>1.0169000000000001E-9</v>
      </c>
      <c r="D69" s="6">
        <f>Plan3!$G78</f>
        <v>7.2194999999999997E-10</v>
      </c>
      <c r="E69" s="6">
        <f>Plan4!$G78</f>
        <v>9.0346999999999998E-10</v>
      </c>
      <c r="F69" s="6">
        <f>Plan5!$G78</f>
        <v>5.1086000000000003E-10</v>
      </c>
      <c r="G69" s="6">
        <f>Plan6!$G78</f>
        <v>1.0492000000000001E-9</v>
      </c>
      <c r="H69" s="6">
        <f>Plan7!$G78</f>
        <v>8.9921000000000004E-10</v>
      </c>
      <c r="I69" s="6">
        <f>Plan8!$G78</f>
        <v>1.0094000000000001E-9</v>
      </c>
      <c r="J69" s="6">
        <f>Plan9!$G78</f>
        <v>9.7927000000000007E-10</v>
      </c>
      <c r="K69" s="6">
        <f>Plan10!$G78</f>
        <v>1.4178E-9</v>
      </c>
      <c r="L69" s="7">
        <f t="shared" si="6"/>
        <v>9.3921600000000016E-10</v>
      </c>
      <c r="M69" s="6">
        <f t="shared" si="4"/>
        <v>7.7224600878916331E-10</v>
      </c>
      <c r="N69" s="6">
        <f t="shared" si="5"/>
        <v>1.1061859912108369E-9</v>
      </c>
      <c r="O69" s="6">
        <f t="shared" si="7"/>
        <v>1.6696999121083686E-10</v>
      </c>
    </row>
    <row r="70" spans="1:15" x14ac:dyDescent="0.25">
      <c r="A70" s="9">
        <v>69</v>
      </c>
      <c r="B70" s="6">
        <f>Plan1!$G79</f>
        <v>8.7682999999999996E-10</v>
      </c>
      <c r="C70" s="6">
        <f>Plan2!$G79</f>
        <v>1.0068000000000001E-9</v>
      </c>
      <c r="D70" s="6">
        <f>Plan3!$G79</f>
        <v>7.2956999999999999E-10</v>
      </c>
      <c r="E70" s="6">
        <f>Plan4!$G79</f>
        <v>8.9994E-10</v>
      </c>
      <c r="F70" s="6">
        <f>Plan5!$G79</f>
        <v>5.1295999999999995E-10</v>
      </c>
      <c r="G70" s="6">
        <f>Plan6!$G79</f>
        <v>1.0499000000000001E-9</v>
      </c>
      <c r="H70" s="6">
        <f>Plan7!$G79</f>
        <v>9.1432E-10</v>
      </c>
      <c r="I70" s="6">
        <f>Plan8!$G79</f>
        <v>1.0044E-9</v>
      </c>
      <c r="J70" s="6">
        <f>Plan9!$G79</f>
        <v>9.6876999999999995E-10</v>
      </c>
      <c r="K70" s="6">
        <f>Plan10!$G79</f>
        <v>1.4160999999999999E-9</v>
      </c>
      <c r="L70" s="7">
        <f t="shared" si="6"/>
        <v>9.3795900000000003E-10</v>
      </c>
      <c r="M70" s="6">
        <f t="shared" si="4"/>
        <v>7.725749161951175E-10</v>
      </c>
      <c r="N70" s="6">
        <f t="shared" si="5"/>
        <v>1.1033430838048827E-9</v>
      </c>
      <c r="O70" s="6">
        <f t="shared" si="7"/>
        <v>1.6538408380488255E-10</v>
      </c>
    </row>
    <row r="71" spans="1:15" x14ac:dyDescent="0.25">
      <c r="A71" s="10">
        <v>70</v>
      </c>
      <c r="B71" s="6">
        <f>Plan1!$G80</f>
        <v>8.8192999999999997E-10</v>
      </c>
      <c r="C71" s="6">
        <f>Plan2!$G80</f>
        <v>1.0039E-9</v>
      </c>
      <c r="D71" s="6">
        <f>Plan3!$G80</f>
        <v>7.2496000000000005E-10</v>
      </c>
      <c r="E71" s="6">
        <f>Plan4!$G80</f>
        <v>8.9876000000000001E-10</v>
      </c>
      <c r="F71" s="6">
        <f>Plan5!$G80</f>
        <v>5.1499E-10</v>
      </c>
      <c r="G71" s="6">
        <f>Plan6!$G80</f>
        <v>1.0437E-9</v>
      </c>
      <c r="H71" s="6">
        <f>Plan7!$G80</f>
        <v>9.2500999999999999E-10</v>
      </c>
      <c r="I71" s="6">
        <f>Plan8!$G80</f>
        <v>9.9817000000000008E-10</v>
      </c>
      <c r="J71" s="6">
        <f>Plan9!$G80</f>
        <v>9.5991999999999993E-10</v>
      </c>
      <c r="K71" s="6">
        <f>Plan10!$G80</f>
        <v>1.4235999999999999E-9</v>
      </c>
      <c r="L71" s="7">
        <f t="shared" si="6"/>
        <v>9.3749399999999986E-10</v>
      </c>
      <c r="M71" s="6">
        <f t="shared" si="4"/>
        <v>7.7150021574177122E-10</v>
      </c>
      <c r="N71" s="6">
        <f t="shared" si="5"/>
        <v>1.1034877842582285E-9</v>
      </c>
      <c r="O71" s="6">
        <f t="shared" si="7"/>
        <v>1.659937842582287E-10</v>
      </c>
    </row>
    <row r="72" spans="1:15" x14ac:dyDescent="0.25">
      <c r="A72" s="9">
        <v>71</v>
      </c>
      <c r="B72" s="6">
        <f>Plan1!$G81</f>
        <v>8.8514000000000001E-10</v>
      </c>
      <c r="C72" s="6">
        <f>Plan2!$G81</f>
        <v>9.9190000000000006E-10</v>
      </c>
      <c r="D72" s="6">
        <f>Plan3!$G81</f>
        <v>7.1408999999999996E-10</v>
      </c>
      <c r="E72" s="6">
        <f>Plan4!$G81</f>
        <v>8.9646000000000002E-10</v>
      </c>
      <c r="F72" s="6">
        <f>Plan5!$G81</f>
        <v>5.1365999999999996E-10</v>
      </c>
      <c r="G72" s="6">
        <f>Plan6!$G81</f>
        <v>1.0261E-9</v>
      </c>
      <c r="H72" s="6">
        <f>Plan7!$G81</f>
        <v>9.3725000000000005E-10</v>
      </c>
      <c r="I72" s="6">
        <f>Plan8!$G81</f>
        <v>1.0001999999999999E-9</v>
      </c>
      <c r="J72" s="6">
        <f>Plan9!$G81</f>
        <v>9.5492999999999993E-10</v>
      </c>
      <c r="K72" s="6">
        <f>Plan10!$G81</f>
        <v>1.4407E-9</v>
      </c>
      <c r="L72" s="7">
        <f t="shared" si="6"/>
        <v>9.3604299999999993E-10</v>
      </c>
      <c r="M72" s="6">
        <f t="shared" si="4"/>
        <v>7.6705925195210282E-10</v>
      </c>
      <c r="N72" s="6">
        <f t="shared" si="5"/>
        <v>1.105026748047897E-9</v>
      </c>
      <c r="O72" s="6">
        <f t="shared" si="7"/>
        <v>1.6898374804789716E-10</v>
      </c>
    </row>
    <row r="73" spans="1:15" x14ac:dyDescent="0.25">
      <c r="A73" s="9">
        <v>73</v>
      </c>
      <c r="B73" s="6">
        <f>Plan1!$G82</f>
        <v>8.9077000000000002E-10</v>
      </c>
      <c r="C73" s="6">
        <f>Plan2!$G82</f>
        <v>9.7647999999999992E-10</v>
      </c>
      <c r="D73" s="6">
        <f>Plan3!$G82</f>
        <v>7.1432999999999995E-10</v>
      </c>
      <c r="E73" s="6">
        <f>Plan4!$G82</f>
        <v>8.9124000000000002E-10</v>
      </c>
      <c r="F73" s="6">
        <f>Plan5!$G82</f>
        <v>5.1592000000000001E-10</v>
      </c>
      <c r="G73" s="6">
        <f>Plan6!$G82</f>
        <v>1.0231999999999999E-9</v>
      </c>
      <c r="H73" s="6">
        <f>Plan7!$G82</f>
        <v>9.1723000000000005E-10</v>
      </c>
      <c r="I73" s="6">
        <f>Plan8!$G82</f>
        <v>9.8802999999999995E-10</v>
      </c>
      <c r="J73" s="6">
        <f>Plan9!$G82</f>
        <v>9.3860000000000005E-10</v>
      </c>
      <c r="K73" s="6">
        <f>Plan10!$G82</f>
        <v>1.4554E-9</v>
      </c>
      <c r="L73" s="7">
        <f t="shared" si="6"/>
        <v>9.3112000000000009E-10</v>
      </c>
      <c r="M73" s="6">
        <f t="shared" si="4"/>
        <v>7.6058060632960431E-10</v>
      </c>
      <c r="N73" s="6">
        <f t="shared" si="5"/>
        <v>1.1016593936703959E-9</v>
      </c>
      <c r="O73" s="6">
        <f t="shared" si="7"/>
        <v>1.7053939367039576E-10</v>
      </c>
    </row>
    <row r="74" spans="1:15" x14ac:dyDescent="0.25">
      <c r="A74" s="9">
        <v>75</v>
      </c>
      <c r="B74" s="6">
        <f>Plan1!$G83</f>
        <v>8.9329000000000002E-10</v>
      </c>
      <c r="C74" s="6">
        <f>Plan2!$G83</f>
        <v>9.6444000000000003E-10</v>
      </c>
      <c r="D74" s="6">
        <f>Plan3!$G83</f>
        <v>7.0615999999999997E-10</v>
      </c>
      <c r="E74" s="6">
        <f>Plan4!$G83</f>
        <v>8.9348999999999998E-10</v>
      </c>
      <c r="F74" s="6">
        <f>Plan5!$G83</f>
        <v>5.2534999999999995E-10</v>
      </c>
      <c r="G74" s="6">
        <f>Plan6!$G83</f>
        <v>1.0351000000000001E-9</v>
      </c>
      <c r="H74" s="6">
        <f>Plan7!$G83</f>
        <v>9.1888000000000004E-10</v>
      </c>
      <c r="I74" s="6">
        <f>Plan8!$G83</f>
        <v>9.7444E-10</v>
      </c>
      <c r="J74" s="6">
        <f>Plan9!$G83</f>
        <v>9.2038999999999996E-10</v>
      </c>
      <c r="K74" s="6">
        <f>Plan10!$G83</f>
        <v>1.4672000000000001E-9</v>
      </c>
      <c r="L74" s="7">
        <f t="shared" si="6"/>
        <v>9.2987400000000005E-10</v>
      </c>
      <c r="M74" s="6">
        <f t="shared" si="4"/>
        <v>7.5800078020420693E-10</v>
      </c>
      <c r="N74" s="6">
        <f t="shared" si="5"/>
        <v>1.1017472197957932E-9</v>
      </c>
      <c r="O74" s="6">
        <f t="shared" si="7"/>
        <v>1.7187321979579309E-10</v>
      </c>
    </row>
    <row r="75" spans="1:15" x14ac:dyDescent="0.25">
      <c r="A75" s="9">
        <v>77</v>
      </c>
      <c r="B75" s="6">
        <f>Plan1!$G84</f>
        <v>8.9776999999999999E-10</v>
      </c>
      <c r="C75" s="6">
        <f>Plan2!$G84</f>
        <v>9.4229000000000006E-10</v>
      </c>
      <c r="D75" s="6">
        <f>Plan3!$G84</f>
        <v>7.0544999999999998E-10</v>
      </c>
      <c r="E75" s="6">
        <f>Plan4!$G84</f>
        <v>8.9970000000000001E-10</v>
      </c>
      <c r="F75" s="6">
        <f>Plan5!$G84</f>
        <v>5.3184E-10</v>
      </c>
      <c r="G75" s="6">
        <f>Plan6!$G84</f>
        <v>1.0399000000000001E-9</v>
      </c>
      <c r="H75" s="6">
        <f>Plan7!$G84</f>
        <v>8.6282000000000003E-10</v>
      </c>
      <c r="I75" s="6">
        <f>Plan8!$G84</f>
        <v>9.7339000000000009E-10</v>
      </c>
      <c r="J75" s="6">
        <f>Plan9!$G84</f>
        <v>8.9851000000000003E-10</v>
      </c>
      <c r="K75" s="6">
        <f>Plan10!$G84</f>
        <v>1.4785E-9</v>
      </c>
      <c r="L75" s="7">
        <f t="shared" si="6"/>
        <v>9.2301700000000006E-10</v>
      </c>
      <c r="M75" s="6">
        <f t="shared" si="4"/>
        <v>7.4927506680363947E-10</v>
      </c>
      <c r="N75" s="6">
        <f t="shared" si="5"/>
        <v>1.0967589331963605E-9</v>
      </c>
      <c r="O75" s="6">
        <f t="shared" si="7"/>
        <v>1.7374193319636056E-10</v>
      </c>
    </row>
    <row r="76" spans="1:15" x14ac:dyDescent="0.25">
      <c r="A76" s="10">
        <v>79</v>
      </c>
      <c r="B76" s="6">
        <f>Plan1!$G85</f>
        <v>8.9285999999999995E-10</v>
      </c>
      <c r="C76" s="6">
        <f>Plan2!$G85</f>
        <v>9.2025999999999998E-10</v>
      </c>
      <c r="D76" s="6">
        <f>Plan3!$G85</f>
        <v>7.1358000000000003E-10</v>
      </c>
      <c r="E76" s="6">
        <f>Plan4!$G85</f>
        <v>8.9578999999999996E-10</v>
      </c>
      <c r="F76" s="6">
        <f>Plan5!$G85</f>
        <v>5.3622000000000004E-10</v>
      </c>
      <c r="G76" s="6">
        <f>Plan6!$G85</f>
        <v>1.0379999999999999E-9</v>
      </c>
      <c r="H76" s="6">
        <f>Plan7!$G85</f>
        <v>7.9575999999999995E-10</v>
      </c>
      <c r="I76" s="6">
        <f>Plan8!$G85</f>
        <v>9.5560000000000009E-10</v>
      </c>
      <c r="J76" s="6">
        <f>Plan9!$G85</f>
        <v>9.1101000000000004E-10</v>
      </c>
      <c r="K76" s="6">
        <f>Plan10!$G85</f>
        <v>1.5017999999999999E-9</v>
      </c>
      <c r="L76" s="7">
        <f t="shared" si="6"/>
        <v>9.1608799999999997E-10</v>
      </c>
      <c r="M76" s="6">
        <f t="shared" si="4"/>
        <v>7.3760441527389288E-10</v>
      </c>
      <c r="N76" s="6">
        <f t="shared" si="5"/>
        <v>1.0945715847261071E-9</v>
      </c>
      <c r="O76" s="6">
        <f t="shared" si="7"/>
        <v>1.7848358472610714E-10</v>
      </c>
    </row>
    <row r="77" spans="1:15" x14ac:dyDescent="0.25">
      <c r="A77" s="9">
        <v>81</v>
      </c>
      <c r="B77" s="6">
        <f>Plan1!$G86</f>
        <v>8.9809000000000005E-10</v>
      </c>
      <c r="C77" s="6">
        <f>Plan2!$G86</f>
        <v>8.8089000000000005E-10</v>
      </c>
      <c r="D77" s="6">
        <f>Plan3!$G86</f>
        <v>7.0571000000000004E-10</v>
      </c>
      <c r="E77" s="6">
        <f>Plan4!$G86</f>
        <v>8.9406999999999999E-10</v>
      </c>
      <c r="F77" s="6">
        <f>Plan5!$G86</f>
        <v>5.3218000000000002E-10</v>
      </c>
      <c r="G77" s="6">
        <f>Plan6!$G86</f>
        <v>1.0621999999999999E-9</v>
      </c>
      <c r="H77" s="6">
        <f>Plan7!$G86</f>
        <v>7.9842000000000002E-10</v>
      </c>
      <c r="I77" s="6">
        <f>Plan8!$G86</f>
        <v>9.6423999999999997E-10</v>
      </c>
      <c r="J77" s="6">
        <f>Plan9!$G86</f>
        <v>9.3486000000000002E-10</v>
      </c>
      <c r="K77" s="6">
        <f>Plan10!$G86</f>
        <v>1.5199999999999999E-9</v>
      </c>
      <c r="L77" s="7">
        <f t="shared" si="6"/>
        <v>9.1906599999999998E-10</v>
      </c>
      <c r="M77" s="6">
        <f t="shared" si="4"/>
        <v>7.3495080693955159E-10</v>
      </c>
      <c r="N77" s="6">
        <f t="shared" si="5"/>
        <v>1.1031811930604484E-9</v>
      </c>
      <c r="O77" s="6">
        <f t="shared" si="7"/>
        <v>1.8411519306044844E-10</v>
      </c>
    </row>
    <row r="78" spans="1:15" x14ac:dyDescent="0.25">
      <c r="A78" s="9">
        <v>83</v>
      </c>
      <c r="B78" s="6">
        <f>Plan1!$G87</f>
        <v>8.9606000000000001E-10</v>
      </c>
      <c r="C78" s="6">
        <f>Plan2!$G87</f>
        <v>8.5432999999999999E-10</v>
      </c>
      <c r="D78" s="6">
        <f>Plan3!$G87</f>
        <v>7.0521999999999997E-10</v>
      </c>
      <c r="E78" s="6">
        <f>Plan4!$G87</f>
        <v>8.9587000000000003E-10</v>
      </c>
      <c r="F78" s="6">
        <f>Plan5!$G87</f>
        <v>5.3371000000000001E-10</v>
      </c>
      <c r="G78" s="6">
        <f>Plan6!$G87</f>
        <v>1.0691E-9</v>
      </c>
      <c r="H78" s="6">
        <f>Plan7!$G87</f>
        <v>8.1631000000000005E-10</v>
      </c>
      <c r="I78" s="6">
        <f>Plan8!$G87</f>
        <v>9.7185999999999999E-10</v>
      </c>
      <c r="J78" s="6">
        <f>Plan9!$G87</f>
        <v>9.1356E-10</v>
      </c>
      <c r="K78" s="6">
        <f>Plan10!$G87</f>
        <v>1.5471E-9</v>
      </c>
      <c r="L78" s="7">
        <f t="shared" si="6"/>
        <v>9.2031199999999981E-10</v>
      </c>
      <c r="M78" s="6">
        <f t="shared" si="4"/>
        <v>7.3107863020283753E-10</v>
      </c>
      <c r="N78" s="6">
        <f t="shared" si="5"/>
        <v>1.1095453697971621E-9</v>
      </c>
      <c r="O78" s="6">
        <f t="shared" si="7"/>
        <v>1.8923336979716231E-10</v>
      </c>
    </row>
    <row r="79" spans="1:15" x14ac:dyDescent="0.25">
      <c r="A79" s="9">
        <v>85</v>
      </c>
      <c r="B79" s="6">
        <f>Plan1!$G88</f>
        <v>8.8279999999999999E-10</v>
      </c>
      <c r="C79" s="6">
        <f>Plan2!$G88</f>
        <v>8.2445999999999996E-10</v>
      </c>
      <c r="D79" s="6">
        <f>Plan3!$G88</f>
        <v>7.0062999999999999E-10</v>
      </c>
      <c r="E79" s="6">
        <f>Plan4!$G88</f>
        <v>8.9081000000000005E-10</v>
      </c>
      <c r="F79" s="6">
        <f>Plan5!$G88</f>
        <v>5.2622999999999995E-10</v>
      </c>
      <c r="G79" s="6">
        <f>Plan6!$G88</f>
        <v>1.0883000000000001E-9</v>
      </c>
      <c r="H79" s="6">
        <f>Plan7!$G88</f>
        <v>8.2371000000000004E-10</v>
      </c>
      <c r="I79" s="6">
        <f>Plan8!$G88</f>
        <v>9.7854000000000001E-10</v>
      </c>
      <c r="J79" s="6">
        <f>Plan9!$G88</f>
        <v>9.0251000000000002E-10</v>
      </c>
      <c r="K79" s="6">
        <f>Plan10!$G88</f>
        <v>1.5603999999999999E-9</v>
      </c>
      <c r="L79" s="7">
        <f t="shared" si="6"/>
        <v>9.17839E-10</v>
      </c>
      <c r="M79" s="6">
        <f t="shared" si="4"/>
        <v>7.2325012437593172E-10</v>
      </c>
      <c r="N79" s="6">
        <f t="shared" si="5"/>
        <v>1.1124278756240683E-9</v>
      </c>
      <c r="O79" s="6">
        <f t="shared" si="7"/>
        <v>1.9458887562406825E-10</v>
      </c>
    </row>
    <row r="80" spans="1:15" x14ac:dyDescent="0.25">
      <c r="A80" s="9">
        <v>87</v>
      </c>
      <c r="B80" s="6">
        <f>Plan1!$G89</f>
        <v>8.7798E-10</v>
      </c>
      <c r="C80" s="6">
        <f>Plan2!$G89</f>
        <v>7.8882999999999995E-10</v>
      </c>
      <c r="D80" s="6">
        <f>Plan3!$G89</f>
        <v>6.9048999999999996E-10</v>
      </c>
      <c r="E80" s="6">
        <f>Plan4!$G89</f>
        <v>8.9062999999999995E-10</v>
      </c>
      <c r="F80" s="6">
        <f>Plan5!$G89</f>
        <v>5.1647999999999996E-10</v>
      </c>
      <c r="G80" s="6">
        <f>Plan6!$G89</f>
        <v>1.0983E-9</v>
      </c>
      <c r="H80" s="6">
        <f>Plan7!$G89</f>
        <v>7.8868999999999999E-10</v>
      </c>
      <c r="I80" s="6">
        <f>Plan8!$G89</f>
        <v>9.9516999999999999E-10</v>
      </c>
      <c r="J80" s="6">
        <f>Plan9!$G89</f>
        <v>8.9964000000000001E-10</v>
      </c>
      <c r="K80" s="6">
        <f>Plan10!$G89</f>
        <v>1.5938E-9</v>
      </c>
      <c r="L80" s="7">
        <f t="shared" si="6"/>
        <v>9.1400100000000006E-10</v>
      </c>
      <c r="M80" s="6">
        <f t="shared" si="4"/>
        <v>7.0831161012340578E-10</v>
      </c>
      <c r="N80" s="6">
        <f t="shared" si="5"/>
        <v>1.1196903898765943E-9</v>
      </c>
      <c r="O80" s="6">
        <f t="shared" si="7"/>
        <v>2.0568938987659426E-10</v>
      </c>
    </row>
    <row r="81" spans="1:15" x14ac:dyDescent="0.25">
      <c r="A81" s="10">
        <v>89</v>
      </c>
      <c r="B81" s="6">
        <f>Plan1!$G90</f>
        <v>8.6442E-10</v>
      </c>
      <c r="C81" s="6">
        <f>Plan2!$G90</f>
        <v>7.5862000000000001E-10</v>
      </c>
      <c r="D81" s="6">
        <f>Plan3!$G90</f>
        <v>6.9297000000000004E-10</v>
      </c>
      <c r="E81" s="6">
        <f>Plan4!$G90</f>
        <v>8.8608999999999999E-10</v>
      </c>
      <c r="F81" s="6">
        <f>Plan5!$G90</f>
        <v>5.0366E-10</v>
      </c>
      <c r="G81" s="6">
        <f>Plan6!$G90</f>
        <v>1.1016E-9</v>
      </c>
      <c r="H81" s="6">
        <f>Plan7!$G90</f>
        <v>7.6884999999999999E-10</v>
      </c>
      <c r="I81" s="6">
        <f>Plan8!$G90</f>
        <v>1.0022999999999999E-9</v>
      </c>
      <c r="J81" s="6">
        <f>Plan9!$G90</f>
        <v>8.8577000000000003E-10</v>
      </c>
      <c r="K81" s="6">
        <f>Plan10!$G90</f>
        <v>1.6263000000000001E-9</v>
      </c>
      <c r="L81" s="7">
        <f t="shared" si="6"/>
        <v>9.0905800000000015E-10</v>
      </c>
      <c r="M81" s="6">
        <f t="shared" si="4"/>
        <v>6.9357884830537063E-10</v>
      </c>
      <c r="N81" s="6">
        <f t="shared" si="5"/>
        <v>1.1245371516946297E-9</v>
      </c>
      <c r="O81" s="6">
        <f t="shared" si="7"/>
        <v>2.1547915169462957E-10</v>
      </c>
    </row>
    <row r="82" spans="1:15" x14ac:dyDescent="0.25">
      <c r="A82" s="9">
        <v>91</v>
      </c>
      <c r="B82" s="6">
        <f>Plan1!$G91</f>
        <v>8.5755999999999998E-10</v>
      </c>
      <c r="C82" s="6">
        <f>Plan2!$G91</f>
        <v>7.3096000000000003E-10</v>
      </c>
      <c r="D82" s="6">
        <f>Plan3!$G91</f>
        <v>6.8489E-10</v>
      </c>
      <c r="E82" s="6">
        <f>Plan4!$G91</f>
        <v>8.7768000000000001E-10</v>
      </c>
      <c r="F82" s="6">
        <f>Plan5!$G91</f>
        <v>4.9326000000000001E-10</v>
      </c>
      <c r="G82" s="6">
        <f>Plan6!$G91</f>
        <v>1.1012999999999999E-9</v>
      </c>
      <c r="H82" s="6">
        <f>Plan7!$G91</f>
        <v>7.9225000000000003E-10</v>
      </c>
      <c r="I82" s="6">
        <f>Plan8!$G91</f>
        <v>1.0118E-9</v>
      </c>
      <c r="J82" s="6">
        <f>Plan9!$G91</f>
        <v>8.7467000000000004E-10</v>
      </c>
      <c r="K82" s="6">
        <f>Plan10!$G91</f>
        <v>1.6507000000000001E-9</v>
      </c>
      <c r="L82" s="7">
        <f t="shared" si="6"/>
        <v>9.0750700000000008E-10</v>
      </c>
      <c r="M82" s="6">
        <f t="shared" si="4"/>
        <v>6.8498575225142166E-10</v>
      </c>
      <c r="N82" s="6">
        <f t="shared" si="5"/>
        <v>1.1300282477485785E-9</v>
      </c>
      <c r="O82" s="6">
        <f t="shared" si="7"/>
        <v>2.2252124774857842E-10</v>
      </c>
    </row>
    <row r="83" spans="1:15" x14ac:dyDescent="0.25">
      <c r="A83" s="9">
        <v>93</v>
      </c>
      <c r="B83" s="6">
        <f>Plan1!$G92</f>
        <v>8.4704999999999999E-10</v>
      </c>
      <c r="C83" s="6">
        <f>Plan2!$G92</f>
        <v>7.0354000000000003E-10</v>
      </c>
      <c r="D83" s="6">
        <f>Plan3!$G92</f>
        <v>6.6908000000000003E-10</v>
      </c>
      <c r="E83" s="6">
        <f>Plan4!$G92</f>
        <v>8.6848999999999997E-10</v>
      </c>
      <c r="F83" s="6">
        <f>Plan5!$G92</f>
        <v>4.9690000000000001E-10</v>
      </c>
      <c r="G83" s="6">
        <f>Plan6!$G92</f>
        <v>1.1192E-9</v>
      </c>
      <c r="H83" s="6">
        <f>Plan7!$G92</f>
        <v>8.1312999999999996E-10</v>
      </c>
      <c r="I83" s="6">
        <f>Plan8!$G92</f>
        <v>1.0219E-9</v>
      </c>
      <c r="J83" s="6">
        <f>Plan9!$G92</f>
        <v>8.6469000000000004E-10</v>
      </c>
      <c r="K83" s="6">
        <f>Plan10!$G92</f>
        <v>1.6757999999999999E-9</v>
      </c>
      <c r="L83" s="7">
        <f t="shared" si="6"/>
        <v>9.0797799999999998E-10</v>
      </c>
      <c r="M83" s="6">
        <f t="shared" si="4"/>
        <v>6.7788235571027527E-10</v>
      </c>
      <c r="N83" s="6">
        <f t="shared" si="5"/>
        <v>1.1380736442897248E-9</v>
      </c>
      <c r="O83" s="6">
        <f t="shared" si="7"/>
        <v>2.3009564428972474E-10</v>
      </c>
    </row>
    <row r="84" spans="1:15" x14ac:dyDescent="0.25">
      <c r="A84" s="9">
        <v>95</v>
      </c>
      <c r="B84" s="6">
        <f>Plan1!$G93</f>
        <v>8.3059000000000002E-10</v>
      </c>
      <c r="C84" s="6">
        <f>Plan2!$G93</f>
        <v>6.7462999999999998E-10</v>
      </c>
      <c r="D84" s="6">
        <f>Plan3!$G93</f>
        <v>6.5880000000000004E-10</v>
      </c>
      <c r="E84" s="6">
        <f>Plan4!$G93</f>
        <v>8.5995000000000001E-10</v>
      </c>
      <c r="F84" s="6">
        <f>Plan5!$G93</f>
        <v>4.8833000000000001E-10</v>
      </c>
      <c r="G84" s="6">
        <f>Plan6!$G93</f>
        <v>1.1312E-9</v>
      </c>
      <c r="H84" s="6">
        <f>Plan7!$G93</f>
        <v>8.0002999999999998E-10</v>
      </c>
      <c r="I84" s="6">
        <f>Plan8!$G93</f>
        <v>1.0323E-9</v>
      </c>
      <c r="J84" s="6">
        <f>Plan9!$G93</f>
        <v>8.6081000000000005E-10</v>
      </c>
      <c r="K84" s="6">
        <f>Plan10!$G93</f>
        <v>1.7001E-9</v>
      </c>
      <c r="L84" s="7">
        <f t="shared" si="6"/>
        <v>9.0367399999999998E-10</v>
      </c>
      <c r="M84" s="6">
        <f t="shared" si="4"/>
        <v>6.6434406426753986E-10</v>
      </c>
      <c r="N84" s="6">
        <f t="shared" si="5"/>
        <v>1.1430039357324601E-9</v>
      </c>
      <c r="O84" s="6">
        <f t="shared" si="7"/>
        <v>2.3932993573246012E-10</v>
      </c>
    </row>
    <row r="85" spans="1:15" x14ac:dyDescent="0.25">
      <c r="A85" s="9">
        <v>97</v>
      </c>
      <c r="B85" s="6">
        <f>Plan1!$G94</f>
        <v>8.1634999999999998E-10</v>
      </c>
      <c r="C85" s="6">
        <f>Plan2!$G94</f>
        <v>6.5238999999999996E-10</v>
      </c>
      <c r="D85" s="6">
        <f>Plan3!$G94</f>
        <v>6.4109000000000001E-10</v>
      </c>
      <c r="E85" s="6">
        <f>Plan4!$G94</f>
        <v>8.5098999999999997E-10</v>
      </c>
      <c r="F85" s="6">
        <f>Plan5!$G94</f>
        <v>4.9398999999999997E-10</v>
      </c>
      <c r="G85" s="6">
        <f>Plan6!$G94</f>
        <v>1.1381E-9</v>
      </c>
      <c r="H85" s="6">
        <f>Plan7!$G94</f>
        <v>7.7897000000000005E-10</v>
      </c>
      <c r="I85" s="6">
        <f>Plan8!$G94</f>
        <v>1.0401E-9</v>
      </c>
      <c r="J85" s="6">
        <f>Plan9!$G94</f>
        <v>8.4641999999999996E-10</v>
      </c>
      <c r="K85" s="6">
        <f>Plan10!$G94</f>
        <v>1.7345E-9</v>
      </c>
      <c r="L85" s="7">
        <f t="shared" si="6"/>
        <v>8.992899999999999E-10</v>
      </c>
      <c r="M85" s="6">
        <f t="shared" si="4"/>
        <v>6.5001752122898733E-10</v>
      </c>
      <c r="N85" s="6">
        <f t="shared" si="5"/>
        <v>1.1485624787710126E-9</v>
      </c>
      <c r="O85" s="6">
        <f t="shared" si="7"/>
        <v>2.4927247877101257E-10</v>
      </c>
    </row>
    <row r="86" spans="1:15" x14ac:dyDescent="0.25">
      <c r="A86" s="10">
        <v>99</v>
      </c>
      <c r="B86" s="6">
        <f>Plan1!$G95</f>
        <v>8.0539000000000005E-10</v>
      </c>
      <c r="C86" s="6">
        <f>Plan2!$G95</f>
        <v>6.2700999999999999E-10</v>
      </c>
      <c r="D86" s="6">
        <f>Plan3!$G95</f>
        <v>6.2780000000000004E-10</v>
      </c>
      <c r="E86" s="6">
        <f>Plan4!$G95</f>
        <v>8.4714000000000003E-10</v>
      </c>
      <c r="F86" s="6">
        <f>Plan5!$G95</f>
        <v>4.8719000000000005E-10</v>
      </c>
      <c r="G86" s="6">
        <f>Plan6!$G95</f>
        <v>1.1437000000000001E-9</v>
      </c>
      <c r="H86" s="6">
        <f>Plan7!$G95</f>
        <v>7.2581E-10</v>
      </c>
      <c r="I86" s="6">
        <f>Plan8!$G95</f>
        <v>1.0608999999999999E-9</v>
      </c>
      <c r="J86" s="6">
        <f>Plan9!$G95</f>
        <v>8.2919999999999999E-10</v>
      </c>
      <c r="K86" s="6">
        <f>Plan10!$G95</f>
        <v>1.7516E-9</v>
      </c>
      <c r="L86" s="7">
        <f t="shared" si="6"/>
        <v>8.9057399999999989E-10</v>
      </c>
      <c r="M86" s="6">
        <f>L86-O86</f>
        <v>6.3201636675761373E-10</v>
      </c>
      <c r="N86" s="6">
        <f t="shared" si="5"/>
        <v>1.149131633242386E-9</v>
      </c>
      <c r="O86" s="6">
        <f t="shared" si="7"/>
        <v>2.5855763324238621E-10</v>
      </c>
    </row>
    <row r="87" spans="1:15" x14ac:dyDescent="0.25">
      <c r="A87" s="9">
        <v>101</v>
      </c>
      <c r="B87" s="6">
        <f>Plan1!$G96</f>
        <v>7.8565999999999995E-10</v>
      </c>
      <c r="C87" s="6">
        <f>Plan2!$G96</f>
        <v>6.0923999999999996E-10</v>
      </c>
      <c r="D87" s="6">
        <f>Plan3!$G96</f>
        <v>6.1093999999999996E-10</v>
      </c>
      <c r="E87" s="6">
        <f>Plan4!$G96</f>
        <v>8.4394999999999997E-10</v>
      </c>
      <c r="F87" s="6">
        <f>Plan5!$G96</f>
        <v>4.8927000000000001E-10</v>
      </c>
      <c r="G87" s="6">
        <f>Plan6!$G96</f>
        <v>1.1628E-9</v>
      </c>
      <c r="H87" s="6">
        <f>Plan7!$G96</f>
        <v>6.5569000000000004E-10</v>
      </c>
      <c r="I87" s="6">
        <f>Plan8!$G96</f>
        <v>1.072E-9</v>
      </c>
      <c r="J87" s="6">
        <f>Plan9!$G96</f>
        <v>8.1383999999999995E-10</v>
      </c>
      <c r="K87" s="6">
        <f>Plan10!$G96</f>
        <v>1.7772E-9</v>
      </c>
      <c r="L87" s="7">
        <f t="shared" si="6"/>
        <v>8.8205899999999984E-10</v>
      </c>
      <c r="M87" s="6">
        <f t="shared" si="4"/>
        <v>6.1175133426343944E-10</v>
      </c>
      <c r="N87" s="6">
        <f t="shared" si="5"/>
        <v>1.1523666657365602E-9</v>
      </c>
      <c r="O87" s="6">
        <f t="shared" si="7"/>
        <v>2.703076657365604E-10</v>
      </c>
    </row>
    <row r="88" spans="1:15" x14ac:dyDescent="0.25">
      <c r="A88" s="9">
        <v>103</v>
      </c>
      <c r="B88" s="6">
        <f>Plan1!$G97</f>
        <v>7.6597999999999997E-10</v>
      </c>
      <c r="C88" s="6">
        <f>Plan2!$G97</f>
        <v>5.9454999999999998E-10</v>
      </c>
      <c r="D88" s="6">
        <f>Plan3!$G97</f>
        <v>5.9786000000000004E-10</v>
      </c>
      <c r="E88" s="6">
        <f>Plan4!$G97</f>
        <v>8.3817000000000001E-10</v>
      </c>
      <c r="F88" s="6">
        <f>Plan5!$G97</f>
        <v>4.9056999999999999E-10</v>
      </c>
      <c r="G88" s="6">
        <f>Plan6!$G97</f>
        <v>1.1768999999999999E-9</v>
      </c>
      <c r="H88" s="6">
        <f>Plan7!$G97</f>
        <v>6.2534000000000003E-10</v>
      </c>
      <c r="I88" s="6">
        <f>Plan8!$G97</f>
        <v>1.0923E-9</v>
      </c>
      <c r="J88" s="6">
        <f>Plan9!$G97</f>
        <v>8.0541000000000001E-10</v>
      </c>
      <c r="K88" s="6">
        <f>Plan10!$G97</f>
        <v>1.7953E-9</v>
      </c>
      <c r="L88" s="7">
        <f t="shared" si="6"/>
        <v>8.7823800000000004E-10</v>
      </c>
      <c r="M88" s="6">
        <f t="shared" si="4"/>
        <v>5.9925185933005514E-10</v>
      </c>
      <c r="N88" s="6">
        <f t="shared" si="5"/>
        <v>1.1572241406699448E-9</v>
      </c>
      <c r="O88" s="6">
        <f t="shared" si="7"/>
        <v>2.7898614066994491E-10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1.000024E-3</v>
      </c>
    </row>
    <row r="4" spans="2:12" x14ac:dyDescent="0.25">
      <c r="B4" t="s">
        <v>29</v>
      </c>
      <c r="C4" t="s">
        <v>28</v>
      </c>
      <c r="D4" s="11">
        <v>9.9995940000000005E-4</v>
      </c>
    </row>
    <row r="5" spans="2:12" x14ac:dyDescent="0.25">
      <c r="B5" t="s">
        <v>30</v>
      </c>
      <c r="C5" t="s">
        <v>28</v>
      </c>
      <c r="D5" s="11">
        <v>9.9998550000000006E-4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1.6009999999999999E-8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8.2831999999999997E-9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5.0961999999999998E-9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4.56E-9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4.4275000000000003E-9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3.2032999999999999E-9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2.7762E-9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2.8672000000000002E-9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1</v>
      </c>
      <c r="F19" s="11">
        <v>0</v>
      </c>
      <c r="G19" s="11">
        <v>2.4292999999999999E-9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1</v>
      </c>
      <c r="F20" s="11">
        <v>0</v>
      </c>
      <c r="G20" s="11">
        <v>2.1540999999999998E-9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2.1397E-9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1</v>
      </c>
      <c r="F22" s="11">
        <v>0</v>
      </c>
      <c r="G22" s="11">
        <v>2.0592000000000001E-9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1.8172999999999999E-9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1.8246999999999999E-9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1.6602999999999999E-9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1.5240999999999999E-9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1.4342000000000001E-9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1.4178E-9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1.3163999999999999E-9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1.2994000000000001E-9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1.2778000000000001E-9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1.2587E-9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1.1679000000000001E-9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1.1423999999999999E-9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1.1059000000000001E-9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1.0519000000000001E-9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1.0423E-9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1.0172E-9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1.0199E-9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9.9600999999999996E-10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9.8997999999999993E-10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9.6654999999999993E-10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9.5294000000000002E-10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9.1051999999999997E-10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1</v>
      </c>
      <c r="F45" s="11">
        <v>0</v>
      </c>
      <c r="G45" s="11">
        <v>9.2536E-10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9.0751999999999998E-10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9.0059999999999997E-10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8.9658000000000002E-10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9.1093999999999996E-10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8.9187000000000004E-10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1</v>
      </c>
      <c r="F51" s="11">
        <v>0</v>
      </c>
      <c r="G51" s="11">
        <v>8.7881999999999997E-10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8.7763E-10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8.7323999999999997E-10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8.6507999999999997E-10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8.7121000000000003E-10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8.761E-10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8.7456000000000003E-10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8.8312000000000005E-10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1</v>
      </c>
      <c r="F59" s="11">
        <v>0</v>
      </c>
      <c r="G59" s="11">
        <v>8.8231000000000003E-10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1</v>
      </c>
      <c r="F60" s="11">
        <v>0</v>
      </c>
      <c r="G60" s="11">
        <v>8.7127000000000003E-10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8.6524E-10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8.7162000000000004E-10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8.5635000000000005E-10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8.5837999999999999E-10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8.6588999999999999E-10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8.7076E-10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8.7223999999999998E-10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8.8095000000000004E-10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8.7140000000000001E-10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8.7441999999999996E-10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8.7490000000000005E-10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8.7974999999999999E-10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8.8363999999999996E-10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8.8937999999999998E-10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8.9194000000000002E-10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8.8714E-10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8.8888000000000004E-10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8.8409999999999998E-10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8.7682999999999996E-10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8.8192999999999997E-10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8.8514000000000001E-10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8.9077000000000002E-10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8.9329000000000002E-10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8.9776999999999999E-10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8.9285999999999995E-10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8.9809000000000005E-10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8.9606000000000001E-10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8.8279999999999999E-10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8.7798E-10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8.6442E-10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8.5755999999999998E-10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8.4704999999999999E-10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8.3059000000000002E-10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8.1634999999999998E-10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8.0539000000000005E-10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7.8565999999999995E-10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7.6597999999999997E-10</v>
      </c>
      <c r="H97" s="1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1.000024E-3</v>
      </c>
    </row>
    <row r="4" spans="2:12" x14ac:dyDescent="0.25">
      <c r="B4" t="s">
        <v>29</v>
      </c>
      <c r="C4" t="s">
        <v>28</v>
      </c>
      <c r="D4" s="11">
        <v>9.9995599999999998E-4</v>
      </c>
    </row>
    <row r="5" spans="2:12" x14ac:dyDescent="0.25">
      <c r="B5" t="s">
        <v>30</v>
      </c>
      <c r="C5" t="s">
        <v>28</v>
      </c>
      <c r="D5" s="11">
        <v>9.9998399999999999E-4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2</v>
      </c>
      <c r="F11" s="11">
        <v>0</v>
      </c>
      <c r="G11" s="11">
        <v>1.6508000000000001E-8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8.4059000000000005E-9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4.4392000000000001E-9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4.4884000000000003E-9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4.0132999999999998E-9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3.0916E-9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2.4751999999999999E-9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2.7081000000000002E-9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2.2711000000000001E-9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2.1024000000000001E-9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2.2099E-9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1.9908000000000002E-9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1.8870000000000002E-9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1.8744000000000001E-9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1.7792E-9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1.7019999999999999E-9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1.6517E-9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1.6222E-9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1.5840999999999999E-9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1.5152000000000001E-9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1.5336E-9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1.5054E-9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1.4534E-9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1.4390999999999999E-9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1.4100000000000001E-9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1.382E-9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1.349E-9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1.3412000000000001E-9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1.3161E-9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1.2924E-9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1.2756E-9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1.2429999999999999E-9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1.2316E-9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1.2026E-9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1.1901000000000001E-9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1.1788999999999999E-9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1.1521E-9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1.1395E-9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1.1212E-9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1.101E-9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1.0738E-9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1.08E-9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1.0789000000000001E-9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1.0629999999999999E-9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1.0702000000000001E-9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1.0685E-9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1.0635000000000001E-9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1.0597E-9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1.0688999999999999E-9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1.0600000000000001E-9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1.0494999999999999E-9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1.0593000000000001E-9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1.0536E-9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1.0437E-9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1.0511E-9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1.0462E-9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1.0358000000000001E-9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1.0458E-9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1.0426000000000001E-9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1.0331999999999999E-9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1.0371000000000001E-9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1.0396E-9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1.0345000000000001E-9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1.0310000000000001E-9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1.0365999999999999E-9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1.0227E-9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1.0207E-9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1.0169000000000001E-9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1.0068000000000001E-9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1.0039E-9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9.9190000000000006E-10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9.7647999999999992E-10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9.6444000000000003E-10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9.4229000000000006E-10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9.2025999999999998E-10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8.8089000000000005E-10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8.5432999999999999E-10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8.2445999999999996E-10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7.8882999999999995E-10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7.5862000000000001E-10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7.3096000000000003E-10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7.0354000000000003E-10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6.7462999999999998E-10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6.5238999999999996E-10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6.2700999999999999E-10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6.0923999999999996E-10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5.9454999999999998E-10</v>
      </c>
      <c r="H97" s="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1.000021E-3</v>
      </c>
    </row>
    <row r="4" spans="2:12" x14ac:dyDescent="0.25">
      <c r="B4" t="s">
        <v>29</v>
      </c>
      <c r="C4" t="s">
        <v>28</v>
      </c>
      <c r="D4" s="11">
        <v>9.9995690000000007E-4</v>
      </c>
    </row>
    <row r="5" spans="2:12" x14ac:dyDescent="0.25">
      <c r="B5" t="s">
        <v>30</v>
      </c>
      <c r="C5" t="s">
        <v>28</v>
      </c>
      <c r="D5" s="11">
        <v>9.9998259999999994E-4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2</v>
      </c>
      <c r="F11" s="11">
        <v>0</v>
      </c>
      <c r="G11" s="11">
        <v>1.7141999999999999E-8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8.1706000000000007E-9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4.3679000000000002E-9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4.2653000000000001E-9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3.6637000000000001E-9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2.9201999999999999E-9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2.2150999999999999E-9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2.5097000000000001E-9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2.0465999999999999E-9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1.8209E-9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1.9408000000000002E-9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1.7428E-9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1.6213E-9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1.6406999999999999E-9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1.5761E-9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1.4902000000000001E-9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1.4653999999999999E-9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1.4180000000000001E-9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1.4069E-9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1.3506000000000001E-9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1.3174E-9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1.2752999999999999E-9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1.2646E-9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1.2404E-9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1.1905E-9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1.2001E-9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1.1462E-9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1.1167999999999999E-9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1.1143E-9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1.0642999999999999E-9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1.0369E-9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1.0121000000000001E-9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9.9462000000000003E-10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9.5333999999999994E-10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9.3342999999999995E-10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9.1923000000000004E-10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8.8583000000000003E-10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8.6558000000000002E-10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8.5636000000000003E-10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8.2087999999999996E-10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8.0971999999999997E-10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8.0448E-10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7.7266E-10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7.7935999999999998E-10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7.5680000000000001E-10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7.4346000000000004E-10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7.4034000000000005E-10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7.1788999999999999E-10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7.2591000000000003E-10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7.0870000000000004E-10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7.1317000000000003E-10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7.1258000000000004E-10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7.1164000000000004E-10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7.2253999999999997E-10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7.0789000000000002E-10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7.2479000000000004E-10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7.2293E-10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7.2242999999999995E-10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7.3002000000000003E-10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7.2744000000000002E-10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7.3051999999999998E-10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7.3149000000000002E-10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7.3823000000000004E-10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7.3279000000000001E-10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7.2961000000000003E-10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7.3420000000000001E-10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7.3021999999999999E-10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7.2194999999999997E-10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7.2956999999999999E-10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7.2496000000000005E-10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7.1408999999999996E-10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7.1432999999999995E-10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7.0615999999999997E-10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7.0544999999999998E-10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7.1358000000000003E-10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7.0571000000000004E-10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7.0521999999999997E-10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7.0062999999999999E-10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6.9048999999999996E-10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6.9297000000000004E-10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6.8489E-10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6.6908000000000003E-10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6.5880000000000004E-10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6.4109000000000001E-10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6.2780000000000004E-10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6.1093999999999996E-10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5.9786000000000004E-10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1.0000180000000001E-3</v>
      </c>
    </row>
    <row r="4" spans="2:12" x14ac:dyDescent="0.25">
      <c r="B4" t="s">
        <v>29</v>
      </c>
      <c r="C4" t="s">
        <v>28</v>
      </c>
      <c r="D4" s="11">
        <v>9.9995849999999996E-4</v>
      </c>
    </row>
    <row r="5" spans="2:12" x14ac:dyDescent="0.25">
      <c r="B5" t="s">
        <v>30</v>
      </c>
      <c r="C5" t="s">
        <v>28</v>
      </c>
      <c r="D5" s="11">
        <v>9.999837000000001E-4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2</v>
      </c>
      <c r="F11" s="11">
        <v>0</v>
      </c>
      <c r="G11" s="11">
        <v>1.6641E-8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7.5410999999999999E-9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3.8305E-9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4.3083999999999997E-9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3.4793000000000002E-9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2.9735000000000001E-9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2.4694000000000002E-9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2.5941E-9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2.3787000000000001E-9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2.0523E-9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2.2258999999999999E-9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1.9760999999999998E-9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1.8639000000000001E-9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1.8246000000000001E-9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1.7447E-9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1.6897000000000001E-9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1.5445E-9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1.5613E-9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1.4585999999999999E-9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1.3574000000000001E-9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1.3857000000000001E-9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1.2804E-9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1.2557999999999999E-9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1.2178000000000001E-9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1.1841000000000001E-9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1.1631E-9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1.1069E-9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1.1159E-9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1.0595999999999999E-9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1.0382E-9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1.0361E-9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1.0049999999999999E-9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1.0195E-9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1.0053E-9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9.9571999999999995E-10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9.9470999999999997E-10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9.9111999999999999E-10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9.9764000000000008E-10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9.8833000000000004E-10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9.9067999999999993E-10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9.7905999999999993E-10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9.6247999999999997E-10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9.6745E-10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9.5275000000000004E-10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9.5118000000000002E-10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9.4137000000000003E-10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1</v>
      </c>
      <c r="F57" s="11">
        <v>0</v>
      </c>
      <c r="G57" s="11">
        <v>9.3470999999999997E-10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9.3065999999999997E-10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1</v>
      </c>
      <c r="F59" s="11">
        <v>0</v>
      </c>
      <c r="G59" s="11">
        <v>9.2842999999999997E-10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1</v>
      </c>
      <c r="F60" s="11">
        <v>0</v>
      </c>
      <c r="G60" s="11">
        <v>9.3005000000000001E-10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9.2575000000000003E-10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9.2748999999999997E-10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9.2155999999999997E-10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9.2829000000000001E-10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9.3229999999999998E-10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9.2617000000000002E-10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9.332799999999999E-10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9.3066999999999995E-10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9.2668000000000005E-10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9.3286000000000002E-10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9.3354000000000007E-10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9.3219000000000007E-10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9.2565999999999999E-10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9.2432999999999995E-10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9.1897999999999996E-10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9.1407000000000003E-10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9.1148000000000004E-10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9.0346999999999998E-10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8.9994E-10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8.9876000000000001E-10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8.9646000000000002E-10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8.9124000000000002E-10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8.9348999999999998E-10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8.9970000000000001E-10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8.9578999999999996E-10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8.9406999999999999E-10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8.9587000000000003E-10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8.9081000000000005E-10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8.9062999999999995E-10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8.8608999999999999E-10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8.7768000000000001E-10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8.6848999999999997E-10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8.5995000000000001E-10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8.5098999999999997E-10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8.4714000000000003E-10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8.4394999999999997E-10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8.3817000000000001E-10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1.000021E-3</v>
      </c>
    </row>
    <row r="4" spans="2:12" x14ac:dyDescent="0.25">
      <c r="B4" t="s">
        <v>29</v>
      </c>
      <c r="C4" t="s">
        <v>28</v>
      </c>
      <c r="D4" s="11">
        <v>9.9995659999999997E-4</v>
      </c>
    </row>
    <row r="5" spans="2:12" x14ac:dyDescent="0.25">
      <c r="B5" t="s">
        <v>30</v>
      </c>
      <c r="C5" t="s">
        <v>28</v>
      </c>
      <c r="D5" s="11">
        <v>9.9998259999999994E-4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2</v>
      </c>
      <c r="F11" s="11">
        <v>0</v>
      </c>
      <c r="G11" s="11">
        <v>1.6797000000000001E-8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7.9531999999999994E-9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4.3402000000000004E-9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4.49E-9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3.8013000000000001E-9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3.2557999999999999E-9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2.5420000000000001E-9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1</v>
      </c>
      <c r="F18" s="11">
        <v>0</v>
      </c>
      <c r="G18" s="11">
        <v>2.6949999999999999E-9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2.4129999999999998E-9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1.9723999999999999E-9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2.1127E-9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1.9671E-9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1.7766E-9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1.7731E-9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1.6991000000000001E-9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1.5920999999999999E-9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1.5514E-9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1.5464E-9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1.5006E-9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1.4645000000000001E-9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1.4578999999999999E-9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1.4251E-9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1</v>
      </c>
      <c r="F33" s="11">
        <v>0</v>
      </c>
      <c r="G33" s="11">
        <v>1.3924000000000001E-9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1.3863000000000001E-9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1.3617E-9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1.3348E-9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1.3473999999999999E-9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1</v>
      </c>
      <c r="F38" s="11">
        <v>0</v>
      </c>
      <c r="G38" s="11">
        <v>1.3039E-9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1</v>
      </c>
      <c r="F39" s="11">
        <v>0</v>
      </c>
      <c r="G39" s="11">
        <v>1.2758000000000001E-9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1</v>
      </c>
      <c r="F40" s="11">
        <v>0</v>
      </c>
      <c r="G40" s="11">
        <v>1.2738000000000001E-9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1</v>
      </c>
      <c r="F41" s="11">
        <v>0</v>
      </c>
      <c r="G41" s="11">
        <v>1.2434000000000001E-9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1.2196E-9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1.1983000000000001E-9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1.1740000000000001E-9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1.1174999999999999E-9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1.0850999999999999E-9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1.0628000000000001E-9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1</v>
      </c>
      <c r="F48" s="11">
        <v>0</v>
      </c>
      <c r="G48" s="11">
        <v>1.0082999999999999E-9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9.7888000000000004E-10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9.5246000000000004E-10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1</v>
      </c>
      <c r="F51" s="11">
        <v>0</v>
      </c>
      <c r="G51" s="11">
        <v>9.1994000000000003E-10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8.7698000000000001E-10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8.5021E-10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8.2921999999999996E-10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1</v>
      </c>
      <c r="F55" s="11">
        <v>0</v>
      </c>
      <c r="G55" s="11">
        <v>7.8931000000000004E-10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7.5638000000000003E-10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7.3855999999999998E-10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7.1318999999999999E-10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6.6834999999999997E-10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6.5492000000000005E-10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6.3816999999999998E-10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6.1542000000000003E-10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5.7985000000000002E-10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5.7986999999999998E-10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5.8532E-10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5.5695000000000003E-10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5.6348E-10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5.6097999999999996E-10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5.4342999999999995E-10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5.4045000000000003E-10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5.2862999999999996E-10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5.289E-10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5.0776000000000001E-10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5.0882999999999999E-10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5.1645000000000001E-10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5.0111000000000004E-10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5.1361000000000005E-10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5.1086000000000003E-10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5.1295999999999995E-10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5.1499E-10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5.1365999999999996E-10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5.1592000000000001E-10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5.2534999999999995E-10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5.3184E-10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5.3622000000000004E-10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5.3218000000000002E-10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5.3371000000000001E-10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5.2622999999999995E-10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5.1647999999999996E-10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5.0366E-10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4.9326000000000001E-10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4.9690000000000001E-10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4.8833000000000001E-10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4.9398999999999997E-10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4.8719000000000005E-10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4.8927000000000001E-10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4.9056999999999999E-10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-9.9988560000000004E-4</v>
      </c>
    </row>
    <row r="4" spans="2:12" x14ac:dyDescent="0.25">
      <c r="B4" t="s">
        <v>29</v>
      </c>
      <c r="C4" t="s">
        <v>28</v>
      </c>
      <c r="D4" s="11">
        <v>-9.9998100000000005E-4</v>
      </c>
    </row>
    <row r="5" spans="2:12" x14ac:dyDescent="0.25">
      <c r="B5" t="s">
        <v>30</v>
      </c>
      <c r="C5" t="s">
        <v>28</v>
      </c>
      <c r="D5" s="11">
        <v>-9.999385999999999E-4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2.3044000000000001E-8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1.3831999999999999E-8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2</v>
      </c>
      <c r="F13" s="11">
        <v>0</v>
      </c>
      <c r="G13" s="11">
        <v>1.0842E-8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8.2320000000000005E-9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6.3601E-9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5.1674999999999998E-9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4.1491999999999997E-9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3.7561000000000003E-9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3.4086E-9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3.0873999999999999E-9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2.9117999999999998E-9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2.8214000000000002E-9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2.7112999999999999E-9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2.5690000000000001E-9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2.4765999999999999E-9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2.2462E-9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2.1487999999999999E-9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1.9356999999999998E-9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1.8619E-9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1.8406E-9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1.7862999999999999E-9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1.7893E-9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1.7350999999999999E-9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1.7045000000000001E-9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1.6408E-9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1.5574E-9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1.5152999999999999E-9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1.4699000000000001E-9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1.4792E-9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1.4278E-9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1.4414E-9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1.4152E-9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1.33E-9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1.2960999999999999E-9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1.2859999999999999E-9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1.2946000000000001E-9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1.2721E-9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1.2488000000000001E-9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1.2468999999999999E-9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1.2378E-9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1.2138000000000001E-9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1.2017999999999999E-9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1.1888000000000001E-9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1.1605999999999999E-9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1.1559999999999999E-9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1.1201999999999999E-9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1.1158E-9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1.1229999999999999E-9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1.1221000000000001E-9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1.1218E-9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1.0870000000000001E-9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1.0864000000000001E-9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1.0752E-9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1.0816000000000001E-9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1.0850999999999999E-9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1.0624E-9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1.0644E-9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1.0754E-9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1.0836000000000001E-9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1.0705E-9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1.0558E-9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1.0472000000000001E-9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1.0385999999999999E-9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1.0322E-9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1.0318999999999999E-9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1.0283000000000001E-9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1.0372000000000001E-9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1.0492000000000001E-9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1.0499000000000001E-9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1.0437E-9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1.0261E-9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1.0231999999999999E-9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1.0351000000000001E-9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1.0399000000000001E-9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1.0379999999999999E-9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1.0621999999999999E-9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1.0691E-9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1.0883000000000001E-9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1.0983E-9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1.1016E-9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1.1012999999999999E-9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1.1192E-9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1.1312E-9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1.1381E-9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1.1437000000000001E-9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1.1628E-9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1.1768999999999999E-9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-9.9989099999999993E-4</v>
      </c>
    </row>
    <row r="4" spans="2:12" x14ac:dyDescent="0.25">
      <c r="B4" t="s">
        <v>29</v>
      </c>
      <c r="C4" t="s">
        <v>28</v>
      </c>
      <c r="D4" s="11">
        <v>-9.999853E-4</v>
      </c>
    </row>
    <row r="5" spans="2:12" x14ac:dyDescent="0.25">
      <c r="B5" t="s">
        <v>30</v>
      </c>
      <c r="C5" t="s">
        <v>28</v>
      </c>
      <c r="D5" s="11">
        <v>-9.9994020000000001E-4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1.9732999999999999E-8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1.6559E-8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1.4761000000000001E-8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2</v>
      </c>
      <c r="F14" s="11">
        <v>0</v>
      </c>
      <c r="G14" s="11">
        <v>1.2644000000000001E-8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1.0878999999999999E-8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2</v>
      </c>
      <c r="F16" s="11">
        <v>0</v>
      </c>
      <c r="G16" s="11">
        <v>9.3539000000000001E-9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2</v>
      </c>
      <c r="F17" s="11">
        <v>0</v>
      </c>
      <c r="G17" s="11">
        <v>7.9594999999999992E-9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2</v>
      </c>
      <c r="F18" s="11">
        <v>0</v>
      </c>
      <c r="G18" s="11">
        <v>6.7729000000000001E-9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1</v>
      </c>
      <c r="F19" s="11">
        <v>0</v>
      </c>
      <c r="G19" s="11">
        <v>5.6494E-9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2</v>
      </c>
      <c r="F20" s="11">
        <v>0</v>
      </c>
      <c r="G20" s="11">
        <v>5.0225E-9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1</v>
      </c>
      <c r="F21" s="11">
        <v>0</v>
      </c>
      <c r="G21" s="11">
        <v>4.4954999999999996E-9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1</v>
      </c>
      <c r="F22" s="11">
        <v>0</v>
      </c>
      <c r="G22" s="11">
        <v>4.0538999999999998E-9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1</v>
      </c>
      <c r="F23" s="11">
        <v>0</v>
      </c>
      <c r="G23" s="11">
        <v>3.5487E-9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1</v>
      </c>
      <c r="F24" s="11">
        <v>0</v>
      </c>
      <c r="G24" s="11">
        <v>3.209E-9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1</v>
      </c>
      <c r="F25" s="11">
        <v>0</v>
      </c>
      <c r="G25" s="11">
        <v>3.0189E-9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1</v>
      </c>
      <c r="F26" s="11">
        <v>0</v>
      </c>
      <c r="G26" s="11">
        <v>3.1054000000000001E-9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1</v>
      </c>
      <c r="F27" s="11">
        <v>0</v>
      </c>
      <c r="G27" s="11">
        <v>3.1647E-9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1</v>
      </c>
      <c r="F28" s="11">
        <v>0</v>
      </c>
      <c r="G28" s="11">
        <v>3.1523E-9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1</v>
      </c>
      <c r="F29" s="11">
        <v>0</v>
      </c>
      <c r="G29" s="11">
        <v>3.0101999999999998E-9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2.7905999999999999E-9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1</v>
      </c>
      <c r="F31" s="11">
        <v>0</v>
      </c>
      <c r="G31" s="11">
        <v>2.5794E-9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2</v>
      </c>
      <c r="F32" s="11">
        <v>0</v>
      </c>
      <c r="G32" s="11">
        <v>2.3578999999999999E-9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2</v>
      </c>
      <c r="F33" s="11">
        <v>0</v>
      </c>
      <c r="G33" s="11">
        <v>2.2062000000000001E-9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1</v>
      </c>
      <c r="F34" s="11">
        <v>0</v>
      </c>
      <c r="G34" s="11">
        <v>2.0603E-9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1.9950999999999999E-9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1.9068000000000001E-9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1.8327000000000001E-9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1.8010999999999999E-9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1.8037000000000001E-9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1.7601E-9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1.7192E-9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1.6644E-9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1.5775E-9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1.4906E-9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1</v>
      </c>
      <c r="F45" s="11">
        <v>0</v>
      </c>
      <c r="G45" s="11">
        <v>1.3797999999999999E-9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1.2904E-9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1.2563999999999999E-9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1.2555000000000001E-9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1.2776E-9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1.3153E-9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1.2985E-9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1</v>
      </c>
      <c r="F52" s="11">
        <v>0</v>
      </c>
      <c r="G52" s="11">
        <v>1.2812000000000001E-9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1</v>
      </c>
      <c r="F53" s="11">
        <v>0</v>
      </c>
      <c r="G53" s="11">
        <v>1.2542000000000001E-9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1.2637000000000001E-9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1.2445E-9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1.2124999999999999E-9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1.1689E-9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1.1255999999999999E-9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1.1011000000000001E-9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1.1011000000000001E-9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1.1213E-9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1.1127999999999999E-9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1.1141999999999999E-9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1.1123E-9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1.1137E-9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1.1042E-9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1.1025000000000001E-9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1.0821E-9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1.0446999999999999E-9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1.0378000000000001E-9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1.0026E-9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9.6536999999999995E-10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9.2271000000000001E-10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9.1436000000000004E-10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8.8519000000000002E-10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8.7210000000000002E-10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8.7731000000000004E-10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8.9921000000000004E-10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9.1432E-10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9.2500999999999999E-10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9.3725000000000005E-10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9.1723000000000005E-10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9.1888000000000004E-10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8.6282000000000003E-10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7.9575999999999995E-10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7.9842000000000002E-10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8.1631000000000005E-10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8.2371000000000004E-10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7.8868999999999999E-10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7.6884999999999999E-10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7.9225000000000003E-10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8.1312999999999996E-10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8.0002999999999998E-10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7.7897000000000005E-10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7.2581E-10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6.5569000000000004E-10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6.2534000000000003E-10</v>
      </c>
      <c r="H97" s="11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-9.998934000000001E-4</v>
      </c>
    </row>
    <row r="4" spans="2:12" x14ac:dyDescent="0.25">
      <c r="B4" t="s">
        <v>29</v>
      </c>
      <c r="C4" t="s">
        <v>28</v>
      </c>
      <c r="D4" s="11">
        <v>-9.9998399999999999E-4</v>
      </c>
    </row>
    <row r="5" spans="2:12" x14ac:dyDescent="0.25">
      <c r="B5" t="s">
        <v>30</v>
      </c>
      <c r="C5" t="s">
        <v>28</v>
      </c>
      <c r="D5" s="11">
        <v>-9.9994030000000005E-4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2</v>
      </c>
      <c r="F11" s="11">
        <v>0</v>
      </c>
      <c r="G11" s="11">
        <v>2.3867000000000001E-8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1.1895E-8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2</v>
      </c>
      <c r="F13" s="11">
        <v>0</v>
      </c>
      <c r="G13" s="11">
        <v>9.0286999999999996E-9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1</v>
      </c>
      <c r="F14" s="11">
        <v>0</v>
      </c>
      <c r="G14" s="11">
        <v>6.4825999999999999E-9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4.8390000000000004E-9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1</v>
      </c>
      <c r="F16" s="11">
        <v>0</v>
      </c>
      <c r="G16" s="11">
        <v>4.4027000000000001E-9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1</v>
      </c>
      <c r="F17" s="11">
        <v>0</v>
      </c>
      <c r="G17" s="11">
        <v>3.9823999999999998E-9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3.5169000000000001E-9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3.1801999999999998E-9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1</v>
      </c>
      <c r="F20" s="11">
        <v>0</v>
      </c>
      <c r="G20" s="11">
        <v>2.8285999999999999E-9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2.8316E-9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2.5584000000000002E-9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2.4417E-9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2.3016E-9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2.2078000000000002E-9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2.1174000000000002E-9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2.0401E-9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1.9870999999999999E-9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1.9305999999999999E-9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1.8714E-9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1.7443000000000001E-9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1.6612E-9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1.5817E-9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1.5692999999999999E-9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1.4606999999999999E-9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1.4334E-9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1.361E-9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1.3052E-9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1.2789E-9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1.2141E-9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-1</v>
      </c>
      <c r="F41" s="11">
        <v>0</v>
      </c>
      <c r="G41" s="11">
        <v>1.1547E-9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1.1740000000000001E-9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1.121E-9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1.1222999999999999E-9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-1</v>
      </c>
      <c r="F45" s="11">
        <v>0</v>
      </c>
      <c r="G45" s="11">
        <v>1.0867E-9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1.0467999999999999E-9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1.0357000000000001E-9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1.0344000000000001E-9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9.8245999999999993E-10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1.0184999999999999E-9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1.0091E-9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1.0114E-9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1.0150999999999999E-9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1.0031E-9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1.0013E-9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1.0118E-9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1.0084E-9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1.0163999999999999E-9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1.0049999999999999E-9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1.0261E-9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1.0162000000000001E-9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1.0263000000000001E-9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1.0216000000000001E-9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1.035E-9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1.0284000000000001E-9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1.0277000000000001E-9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1.0345999999999999E-9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1.0295E-9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1.0412999999999999E-9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1.0426000000000001E-9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1.0268E-9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1.0294E-9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1.0193E-9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1.0255E-9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1.0277999999999999E-9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1.0223000000000001E-9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1.0234E-9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1.0094000000000001E-9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1.0044E-9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9.9817000000000008E-10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1.0001999999999999E-9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9.8802999999999995E-10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9.7444E-10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9.7339000000000009E-10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9.5560000000000009E-10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9.6423999999999997E-10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9.7185999999999999E-10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9.7854000000000001E-10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9.9516999999999999E-10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1.0022999999999999E-9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1.0118E-9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1.0219E-9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1.0323E-9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1.0401E-9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1.0608999999999999E-9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1.072E-9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1.0923E-9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-9.9989970000000008E-4</v>
      </c>
    </row>
    <row r="4" spans="2:12" x14ac:dyDescent="0.25">
      <c r="B4" t="s">
        <v>29</v>
      </c>
      <c r="C4" t="s">
        <v>28</v>
      </c>
      <c r="D4" s="11">
        <v>-9.9998329999999996E-4</v>
      </c>
    </row>
    <row r="5" spans="2:12" x14ac:dyDescent="0.25">
      <c r="B5" t="s">
        <v>30</v>
      </c>
      <c r="C5" t="s">
        <v>28</v>
      </c>
      <c r="D5" s="11">
        <v>-9.9994030000000005E-4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2.2904000000000001E-8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1.3388000000000001E-8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1</v>
      </c>
      <c r="F13" s="11">
        <v>0</v>
      </c>
      <c r="G13" s="11">
        <v>1.0312E-8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2</v>
      </c>
      <c r="F14" s="11">
        <v>0</v>
      </c>
      <c r="G14" s="11">
        <v>8.1732000000000007E-9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6.0364000000000004E-9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4.8285E-9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4.2802999999999998E-9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4.0305999999999997E-9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1</v>
      </c>
      <c r="F19" s="11">
        <v>0</v>
      </c>
      <c r="G19" s="11">
        <v>3.5989000000000001E-9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1</v>
      </c>
      <c r="F20" s="11">
        <v>0</v>
      </c>
      <c r="G20" s="11">
        <v>3.3487999999999999E-9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3.0594E-9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1</v>
      </c>
      <c r="F22" s="11">
        <v>0</v>
      </c>
      <c r="G22" s="11">
        <v>2.9164E-9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1</v>
      </c>
      <c r="F23" s="11">
        <v>0</v>
      </c>
      <c r="G23" s="11">
        <v>2.8198000000000001E-9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2.682E-9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1</v>
      </c>
      <c r="F25" s="11">
        <v>0</v>
      </c>
      <c r="G25" s="11">
        <v>2.6917000000000001E-9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1</v>
      </c>
      <c r="F26" s="11">
        <v>0</v>
      </c>
      <c r="G26" s="11">
        <v>2.4787000000000001E-9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1</v>
      </c>
      <c r="F27" s="11">
        <v>0</v>
      </c>
      <c r="G27" s="11">
        <v>2.3263000000000001E-9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2.2669000000000001E-9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2.1512000000000002E-9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1</v>
      </c>
      <c r="F30" s="11">
        <v>0</v>
      </c>
      <c r="G30" s="11">
        <v>2.1614E-9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2.0943000000000001E-9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2.0020999999999999E-9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1.8994999999999999E-9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1.7989000000000001E-9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1.7879E-9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1.7531999999999999E-9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1.6944000000000001E-9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1.6796999999999999E-9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1.6129000000000001E-9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1.5610999999999999E-9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1.5606E-9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1.5091000000000001E-9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1.4883999999999999E-9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1.4454E-9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1.4235999999999999E-9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1.3651E-9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1.3472000000000001E-9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1.3304999999999999E-9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1.3116000000000001E-9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1.2856E-9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1.2606E-9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1.2684999999999999E-9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1</v>
      </c>
      <c r="F53" s="11">
        <v>0</v>
      </c>
      <c r="G53" s="11">
        <v>1.2291E-9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1.237E-9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1.2204E-9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1.2144000000000001E-9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1.2333000000000001E-9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1.2055E-9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1.2104000000000001E-9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1.1861000000000001E-9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1.1734999999999999E-9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1.169E-9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1.1343999999999999E-9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1.1404999999999999E-9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1.1299E-9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1.1261000000000001E-9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1.1241000000000001E-9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1.1221000000000001E-9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1.1043E-9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1.0883000000000001E-9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1.0733E-9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1.0443E-9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1.0477E-9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1.0281E-9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1.0084E-9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1.0021000000000001E-9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9.7922000000000006E-10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9.7927000000000007E-10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9.6876999999999995E-10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9.5991999999999993E-10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9.5492999999999993E-10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9.3860000000000005E-10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9.2038999999999996E-10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8.9851000000000003E-10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9.1101000000000004E-10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9.3486000000000002E-10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9.1356E-10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9.0251000000000002E-10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8.9964000000000001E-10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8.8577000000000003E-10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8.7467000000000004E-10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8.6469000000000004E-10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8.6081000000000005E-10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8.4641999999999996E-10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8.2919999999999999E-10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8.1383999999999995E-10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8.0541000000000001E-10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-1</v>
      </c>
      <c r="F1" t="s">
        <v>18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-9.9989590000000008E-4</v>
      </c>
    </row>
    <row r="4" spans="2:12" x14ac:dyDescent="0.25">
      <c r="B4" t="s">
        <v>29</v>
      </c>
      <c r="C4" t="s">
        <v>28</v>
      </c>
      <c r="D4" s="11">
        <v>-9.9998389999999995E-4</v>
      </c>
    </row>
    <row r="5" spans="2:12" x14ac:dyDescent="0.25">
      <c r="B5" t="s">
        <v>30</v>
      </c>
      <c r="C5" t="s">
        <v>28</v>
      </c>
      <c r="D5" s="11">
        <v>-9.9994150000000002E-4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0</v>
      </c>
      <c r="F11" s="11">
        <v>0</v>
      </c>
      <c r="G11" s="11">
        <v>2.1579999999999999E-8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1.4535000000000001E-8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2</v>
      </c>
      <c r="F13" s="11">
        <v>0</v>
      </c>
      <c r="G13" s="11">
        <v>1.1123E-8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1</v>
      </c>
      <c r="F14" s="11">
        <v>0</v>
      </c>
      <c r="G14" s="11">
        <v>8.5262000000000006E-9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6.2028999999999997E-9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4.8900999999999999E-9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4.1052000000000003E-9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3.6834999999999999E-9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0</v>
      </c>
      <c r="F19" s="11">
        <v>0</v>
      </c>
      <c r="G19" s="11">
        <v>3.4634999999999999E-9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3.4338999999999999E-9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3.1983E-9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0</v>
      </c>
      <c r="F22" s="11">
        <v>0</v>
      </c>
      <c r="G22" s="11">
        <v>2.9643000000000002E-9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2.7923E-9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2.6357999999999999E-9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2.5507999999999999E-9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-1</v>
      </c>
      <c r="F26" s="11">
        <v>0</v>
      </c>
      <c r="G26" s="11">
        <v>2.3677E-9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2.3141000000000001E-9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2.3119999999999999E-9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2.2226000000000002E-9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-1</v>
      </c>
      <c r="F30" s="11">
        <v>0</v>
      </c>
      <c r="G30" s="11">
        <v>2.1203999999999998E-9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2.0605000000000001E-9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2.0363000000000001E-9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1.9625000000000002E-9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-1</v>
      </c>
      <c r="F34" s="11">
        <v>0</v>
      </c>
      <c r="G34" s="11">
        <v>1.9399999999999999E-9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1.9029000000000001E-9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-1</v>
      </c>
      <c r="F36" s="11">
        <v>0</v>
      </c>
      <c r="G36" s="11">
        <v>1.8630999999999999E-9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1.8107E-9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1.7558999999999999E-9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-1</v>
      </c>
      <c r="F39" s="11">
        <v>0</v>
      </c>
      <c r="G39" s="11">
        <v>1.6734E-9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-1</v>
      </c>
      <c r="F40" s="11">
        <v>0</v>
      </c>
      <c r="G40" s="11">
        <v>1.6492000000000001E-9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1.6423E-9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-1</v>
      </c>
      <c r="F42" s="11">
        <v>0</v>
      </c>
      <c r="G42" s="11">
        <v>1.6479000000000001E-9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-1</v>
      </c>
      <c r="F43" s="11">
        <v>0</v>
      </c>
      <c r="G43" s="11">
        <v>1.6527999999999999E-9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1.6157999999999999E-9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1.564E-9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-1</v>
      </c>
      <c r="F46" s="11">
        <v>0</v>
      </c>
      <c r="G46" s="11">
        <v>1.4949000000000001E-9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-1</v>
      </c>
      <c r="F47" s="11">
        <v>0</v>
      </c>
      <c r="G47" s="11">
        <v>1.4441E-9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-1</v>
      </c>
      <c r="F48" s="11">
        <v>0</v>
      </c>
      <c r="G48" s="11">
        <v>1.4267E-9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-1</v>
      </c>
      <c r="F49" s="11">
        <v>0</v>
      </c>
      <c r="G49" s="11">
        <v>1.4212E-9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-1</v>
      </c>
      <c r="F50" s="11">
        <v>0</v>
      </c>
      <c r="G50" s="11">
        <v>1.4097E-9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-1</v>
      </c>
      <c r="F51" s="11">
        <v>0</v>
      </c>
      <c r="G51" s="11">
        <v>1.3961E-9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-1</v>
      </c>
      <c r="F52" s="11">
        <v>0</v>
      </c>
      <c r="G52" s="11">
        <v>1.3804999999999999E-9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-1</v>
      </c>
      <c r="F53" s="11">
        <v>0</v>
      </c>
      <c r="G53" s="11">
        <v>1.3447999999999999E-9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-1</v>
      </c>
      <c r="F54" s="11">
        <v>0</v>
      </c>
      <c r="G54" s="11">
        <v>1.3184999999999999E-9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1.3217000000000001E-9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-1</v>
      </c>
      <c r="F56" s="11">
        <v>0</v>
      </c>
      <c r="G56" s="11">
        <v>1.3396E-9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-1</v>
      </c>
      <c r="F57" s="11">
        <v>0</v>
      </c>
      <c r="G57" s="11">
        <v>1.3460999999999999E-9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-1</v>
      </c>
      <c r="F58" s="11">
        <v>0</v>
      </c>
      <c r="G58" s="11">
        <v>1.3183999999999999E-9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-1</v>
      </c>
      <c r="F59" s="11">
        <v>0</v>
      </c>
      <c r="G59" s="11">
        <v>1.3204999999999999E-9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-1</v>
      </c>
      <c r="F60" s="11">
        <v>0</v>
      </c>
      <c r="G60" s="11">
        <v>1.3176999999999999E-9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-1</v>
      </c>
      <c r="F61" s="11">
        <v>0</v>
      </c>
      <c r="G61" s="11">
        <v>1.3186E-9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-1</v>
      </c>
      <c r="F62" s="11">
        <v>0</v>
      </c>
      <c r="G62" s="11">
        <v>1.3231999999999999E-9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-1</v>
      </c>
      <c r="F63" s="11">
        <v>0</v>
      </c>
      <c r="G63" s="11">
        <v>1.3375E-9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-1</v>
      </c>
      <c r="F64" s="11">
        <v>0</v>
      </c>
      <c r="G64" s="11">
        <v>1.3402E-9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-1</v>
      </c>
      <c r="F65" s="11">
        <v>0</v>
      </c>
      <c r="G65" s="11">
        <v>1.3265999999999999E-9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-1</v>
      </c>
      <c r="F66" s="11">
        <v>0</v>
      </c>
      <c r="G66" s="11">
        <v>1.3332999999999999E-9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-1</v>
      </c>
      <c r="F67" s="11">
        <v>0</v>
      </c>
      <c r="G67" s="11">
        <v>1.3497E-9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-1</v>
      </c>
      <c r="F68" s="11">
        <v>0</v>
      </c>
      <c r="G68" s="11">
        <v>1.355E-9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-1</v>
      </c>
      <c r="F69" s="11">
        <v>0</v>
      </c>
      <c r="G69" s="11">
        <v>1.3648000000000001E-9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-1</v>
      </c>
      <c r="F70" s="11">
        <v>0</v>
      </c>
      <c r="G70" s="11">
        <v>1.3649999999999999E-9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-1</v>
      </c>
      <c r="F71" s="11">
        <v>0</v>
      </c>
      <c r="G71" s="11">
        <v>1.3739E-9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-1</v>
      </c>
      <c r="F72" s="11">
        <v>0</v>
      </c>
      <c r="G72" s="11">
        <v>1.3857000000000001E-9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-1</v>
      </c>
      <c r="F73" s="11">
        <v>0</v>
      </c>
      <c r="G73" s="11">
        <v>1.3896E-9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-1</v>
      </c>
      <c r="F74" s="11">
        <v>0</v>
      </c>
      <c r="G74" s="11">
        <v>1.3888E-9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-1</v>
      </c>
      <c r="F75" s="11">
        <v>0</v>
      </c>
      <c r="G75" s="11">
        <v>1.3945999999999999E-9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-1</v>
      </c>
      <c r="F76" s="11">
        <v>0</v>
      </c>
      <c r="G76" s="11">
        <v>1.3971000000000001E-9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-1</v>
      </c>
      <c r="F77" s="11">
        <v>0</v>
      </c>
      <c r="G77" s="11">
        <v>1.4078E-9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-1</v>
      </c>
      <c r="F78" s="11">
        <v>0</v>
      </c>
      <c r="G78" s="11">
        <v>1.4178E-9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-1</v>
      </c>
      <c r="F79" s="11">
        <v>0</v>
      </c>
      <c r="G79" s="11">
        <v>1.4160999999999999E-9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-1</v>
      </c>
      <c r="F80" s="11">
        <v>0</v>
      </c>
      <c r="G80" s="11">
        <v>1.4235999999999999E-9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-1</v>
      </c>
      <c r="F81" s="11">
        <v>0</v>
      </c>
      <c r="G81" s="11">
        <v>1.4407E-9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-1</v>
      </c>
      <c r="F82" s="11">
        <v>0</v>
      </c>
      <c r="G82" s="11">
        <v>1.4554E-9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-1</v>
      </c>
      <c r="F83" s="11">
        <v>0</v>
      </c>
      <c r="G83" s="11">
        <v>1.4672000000000001E-9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-1</v>
      </c>
      <c r="F84" s="11">
        <v>0</v>
      </c>
      <c r="G84" s="11">
        <v>1.4785E-9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-1</v>
      </c>
      <c r="F85" s="11">
        <v>0</v>
      </c>
      <c r="G85" s="11">
        <v>1.5017999999999999E-9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-1</v>
      </c>
      <c r="F86" s="11">
        <v>0</v>
      </c>
      <c r="G86" s="11">
        <v>1.5199999999999999E-9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-1</v>
      </c>
      <c r="F87" s="11">
        <v>0</v>
      </c>
      <c r="G87" s="11">
        <v>1.5471E-9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-1</v>
      </c>
      <c r="F88" s="11">
        <v>0</v>
      </c>
      <c r="G88" s="11">
        <v>1.5603999999999999E-9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-1</v>
      </c>
      <c r="F89" s="11">
        <v>0</v>
      </c>
      <c r="G89" s="11">
        <v>1.5938E-9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-1</v>
      </c>
      <c r="F90" s="11">
        <v>0</v>
      </c>
      <c r="G90" s="11">
        <v>1.6263000000000001E-9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-1</v>
      </c>
      <c r="F91" s="11">
        <v>0</v>
      </c>
      <c r="G91" s="11">
        <v>1.6507000000000001E-9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-1</v>
      </c>
      <c r="F92" s="11">
        <v>0</v>
      </c>
      <c r="G92" s="11">
        <v>1.6757999999999999E-9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-1</v>
      </c>
      <c r="F93" s="11">
        <v>0</v>
      </c>
      <c r="G93" s="11">
        <v>1.7001E-9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-1</v>
      </c>
      <c r="F94" s="11">
        <v>0</v>
      </c>
      <c r="G94" s="11">
        <v>1.7345E-9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-1</v>
      </c>
      <c r="F95" s="11">
        <v>0</v>
      </c>
      <c r="G95" s="11">
        <v>1.7516E-9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-1</v>
      </c>
      <c r="F96" s="11">
        <v>0</v>
      </c>
      <c r="G96" s="11">
        <v>1.7772E-9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-1</v>
      </c>
      <c r="F97" s="11">
        <v>0</v>
      </c>
      <c r="G97" s="11">
        <v>1.7953E-9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88"/>
  <sheetViews>
    <sheetView zoomScaleNormal="100" workbookViewId="0"/>
  </sheetViews>
  <sheetFormatPr defaultRowHeight="15" x14ac:dyDescent="0.25"/>
  <cols>
    <col min="1" max="1" width="14.85546875" style="5" customWidth="1"/>
    <col min="2" max="10" width="8.42578125" style="5" bestFit="1" customWidth="1"/>
    <col min="11" max="11" width="9.42578125" style="5" bestFit="1" customWidth="1"/>
    <col min="12" max="14" width="9.140625" style="5"/>
    <col min="15" max="15" width="20.85546875" style="5" bestFit="1" customWidth="1"/>
    <col min="16" max="16" width="17.140625" style="5" customWidth="1"/>
    <col min="17" max="17" width="9.140625" style="5"/>
    <col min="18" max="18" width="11.85546875" style="5" customWidth="1"/>
    <col min="19" max="19" width="8.28515625" style="5" bestFit="1" customWidth="1"/>
    <col min="20" max="16384" width="9.140625" style="5"/>
  </cols>
  <sheetData>
    <row r="1" spans="1:22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51</v>
      </c>
      <c r="Q1" s="4">
        <f>0.0000000001*12^(-0.5)</f>
        <v>2.8867513459481293E-11</v>
      </c>
      <c r="R1" s="1" t="s">
        <v>52</v>
      </c>
      <c r="S1" s="6">
        <v>1E-10</v>
      </c>
      <c r="T1" s="6"/>
      <c r="U1" s="6"/>
      <c r="V1" s="6"/>
    </row>
    <row r="2" spans="1:22" x14ac:dyDescent="0.25">
      <c r="A2" s="5">
        <v>1</v>
      </c>
      <c r="B2" s="6">
        <f>'Plan1 (2)'!$G11</f>
        <v>1.1599E-8</v>
      </c>
      <c r="C2" s="6">
        <f>'Plan2 (2)'!$G11</f>
        <v>1.2364000000000001E-8</v>
      </c>
      <c r="D2" s="6">
        <f>'Plan3 (2)'!$G11</f>
        <v>1.1672E-8</v>
      </c>
      <c r="E2" s="6">
        <f>'Plan4 (2)'!$G11</f>
        <v>1.1605E-8</v>
      </c>
      <c r="F2" s="6">
        <f>'Plan5 (2)'!$G11</f>
        <v>1.1392E-8</v>
      </c>
      <c r="G2" s="6">
        <f>'Plan6 (2)'!$G11</f>
        <v>1.1868000000000001E-8</v>
      </c>
      <c r="H2" s="6">
        <f>'Plan7 (2)'!$G11</f>
        <v>1.2083999999999999E-8</v>
      </c>
      <c r="I2" s="6">
        <f>'Plan8 (2)'!$G11</f>
        <v>1.2905E-8</v>
      </c>
      <c r="J2" s="6">
        <f>'Plan9 (2)'!$G11</f>
        <v>1.24E-8</v>
      </c>
      <c r="K2" s="6">
        <f>'Plan10 (2)'!$G11</f>
        <v>1.3238000000000001E-8</v>
      </c>
      <c r="L2" s="7">
        <f>AVERAGE(B2:K2)</f>
        <v>1.2112699999999999E-8</v>
      </c>
      <c r="M2" s="6">
        <f t="shared" ref="M2:M65" si="0">L2-O2</f>
        <v>1.167719273016955E-8</v>
      </c>
      <c r="N2" s="6">
        <f t="shared" ref="N2:N65" si="1">L2+O2</f>
        <v>1.2548207269830449E-8</v>
      </c>
      <c r="O2" s="6">
        <f>_xlfn.CONFIDENCE.T(0.05,_xlfn.STDEV.S(B2:K2),COUNTA(B2:K2))</f>
        <v>4.3550726983045033E-10</v>
      </c>
    </row>
    <row r="3" spans="1:22" x14ac:dyDescent="0.25">
      <c r="A3" s="5">
        <v>2</v>
      </c>
      <c r="B3" s="6">
        <f>'Plan1 (2)'!$G12</f>
        <v>6.0499E-9</v>
      </c>
      <c r="C3" s="6">
        <f>'Plan2 (2)'!$G12</f>
        <v>5.6902000000000001E-9</v>
      </c>
      <c r="D3" s="6">
        <f>'Plan3 (2)'!$G12</f>
        <v>5.8001999999999999E-9</v>
      </c>
      <c r="E3" s="6">
        <f>'Plan4 (2)'!$G12</f>
        <v>5.8658000000000002E-9</v>
      </c>
      <c r="F3" s="6">
        <f>'Plan5 (2)'!$G12</f>
        <v>6.1309999999999996E-9</v>
      </c>
      <c r="G3" s="6">
        <f>'Plan6 (2)'!$G12</f>
        <v>7.3792999999999999E-9</v>
      </c>
      <c r="H3" s="6">
        <f>'Plan7 (2)'!$G12</f>
        <v>7.6373999999999993E-9</v>
      </c>
      <c r="I3" s="6">
        <f>'Plan8 (2)'!$G12</f>
        <v>6.9517000000000003E-9</v>
      </c>
      <c r="J3" s="6">
        <f>'Plan9 (2)'!$G12</f>
        <v>6.7314000000000001E-9</v>
      </c>
      <c r="K3" s="6">
        <f>'Plan10 (2)'!$G12</f>
        <v>7.6854000000000008E-9</v>
      </c>
      <c r="L3" s="7">
        <f t="shared" ref="L3:L66" si="2">AVERAGE(B3:K3)</f>
        <v>6.5922300000000001E-9</v>
      </c>
      <c r="M3" s="6">
        <f t="shared" si="0"/>
        <v>6.0314364049413707E-9</v>
      </c>
      <c r="N3" s="6">
        <f t="shared" si="1"/>
        <v>7.1530235950586295E-9</v>
      </c>
      <c r="O3" s="6">
        <f t="shared" ref="O3:O66" si="3">_xlfn.CONFIDENCE.T(0.05,_xlfn.STDEV.S(B3:K3),COUNTA(B3:K3))</f>
        <v>5.6079359505862909E-10</v>
      </c>
    </row>
    <row r="4" spans="1:22" x14ac:dyDescent="0.25">
      <c r="A4" s="5">
        <v>3</v>
      </c>
      <c r="B4" s="6">
        <f>'Plan1 (2)'!$G13</f>
        <v>2.9997999999999999E-9</v>
      </c>
      <c r="C4" s="6">
        <f>'Plan2 (2)'!$G13</f>
        <v>4.2757E-9</v>
      </c>
      <c r="D4" s="6">
        <f>'Plan3 (2)'!$G13</f>
        <v>3.5601000000000001E-9</v>
      </c>
      <c r="E4" s="6">
        <f>'Plan4 (2)'!$G13</f>
        <v>3.4307000000000002E-9</v>
      </c>
      <c r="F4" s="6">
        <f>'Plan5 (2)'!$G13</f>
        <v>3.6278999999999998E-9</v>
      </c>
      <c r="G4" s="6">
        <f>'Plan6 (2)'!$G13</f>
        <v>6.0976999999999997E-9</v>
      </c>
      <c r="H4" s="6">
        <f>'Plan7 (2)'!$G13</f>
        <v>6.1384000000000002E-9</v>
      </c>
      <c r="I4" s="6">
        <f>'Plan8 (2)'!$G13</f>
        <v>4.6135999999999999E-9</v>
      </c>
      <c r="J4" s="6">
        <f>'Plan9 (2)'!$G13</f>
        <v>4.6827E-9</v>
      </c>
      <c r="K4" s="6">
        <f>'Plan10 (2)'!$G13</f>
        <v>6.1466000000000003E-9</v>
      </c>
      <c r="L4" s="7">
        <f t="shared" si="2"/>
        <v>4.5573200000000001E-9</v>
      </c>
      <c r="M4" s="6">
        <f t="shared" si="0"/>
        <v>3.6959161077951815E-9</v>
      </c>
      <c r="N4" s="6">
        <f t="shared" si="1"/>
        <v>5.4187238922048187E-9</v>
      </c>
      <c r="O4" s="6">
        <f t="shared" si="3"/>
        <v>8.614038922048186E-10</v>
      </c>
    </row>
    <row r="5" spans="1:22" x14ac:dyDescent="0.25">
      <c r="A5" s="5">
        <v>4</v>
      </c>
      <c r="B5" s="6">
        <f>'Plan1 (2)'!$G14</f>
        <v>3.2112999999999999E-9</v>
      </c>
      <c r="C5" s="6">
        <f>'Plan2 (2)'!$G14</f>
        <v>3.7687E-9</v>
      </c>
      <c r="D5" s="6">
        <f>'Plan3 (2)'!$G14</f>
        <v>3.2828999999999999E-9</v>
      </c>
      <c r="E5" s="6">
        <f>'Plan4 (2)'!$G14</f>
        <v>3.2856999999999999E-9</v>
      </c>
      <c r="F5" s="6">
        <f>'Plan5 (2)'!$G14</f>
        <v>3.5663E-9</v>
      </c>
      <c r="G5" s="6">
        <f>'Plan6 (2)'!$G14</f>
        <v>5.4543999999999997E-9</v>
      </c>
      <c r="H5" s="6">
        <f>'Plan7 (2)'!$G14</f>
        <v>5.4281000000000003E-9</v>
      </c>
      <c r="I5" s="6">
        <f>'Plan8 (2)'!$G14</f>
        <v>3.8065999999999997E-9</v>
      </c>
      <c r="J5" s="6">
        <f>'Plan9 (2)'!$G14</f>
        <v>3.9004999999999999E-9</v>
      </c>
      <c r="K5" s="6">
        <f>'Plan10 (2)'!$G14</f>
        <v>5.2167999999999996E-9</v>
      </c>
      <c r="L5" s="7">
        <f t="shared" si="2"/>
        <v>4.0921300000000004E-9</v>
      </c>
      <c r="M5" s="6">
        <f t="shared" si="0"/>
        <v>3.4397166744915957E-9</v>
      </c>
      <c r="N5" s="6">
        <f t="shared" si="1"/>
        <v>4.7445433255084051E-9</v>
      </c>
      <c r="O5" s="6">
        <f t="shared" si="3"/>
        <v>6.524133255084048E-10</v>
      </c>
    </row>
    <row r="6" spans="1:22" x14ac:dyDescent="0.25">
      <c r="A6" s="5">
        <v>5</v>
      </c>
      <c r="B6" s="6">
        <f>'Plan1 (2)'!$G15</f>
        <v>2.8065999999999998E-9</v>
      </c>
      <c r="C6" s="6">
        <f>'Plan2 (2)'!$G15</f>
        <v>3.5455999999999998E-9</v>
      </c>
      <c r="D6" s="6">
        <f>'Plan3 (2)'!$G15</f>
        <v>2.8009000000000001E-9</v>
      </c>
      <c r="E6" s="6">
        <f>'Plan4 (2)'!$G15</f>
        <v>2.8466000000000001E-9</v>
      </c>
      <c r="F6" s="6">
        <f>'Plan5 (2)'!$G15</f>
        <v>3.2828999999999999E-9</v>
      </c>
      <c r="G6" s="6">
        <f>'Plan6 (2)'!$G15</f>
        <v>4.8224000000000002E-9</v>
      </c>
      <c r="H6" s="6">
        <f>'Plan7 (2)'!$G15</f>
        <v>4.8311E-9</v>
      </c>
      <c r="I6" s="6">
        <f>'Plan8 (2)'!$G15</f>
        <v>2.6935999999999999E-9</v>
      </c>
      <c r="J6" s="6">
        <f>'Plan9 (2)'!$G15</f>
        <v>2.8029999999999999E-9</v>
      </c>
      <c r="K6" s="6">
        <f>'Plan10 (2)'!$G15</f>
        <v>4.3236999999999999E-9</v>
      </c>
      <c r="L6" s="7">
        <f t="shared" si="2"/>
        <v>3.4756400000000006E-9</v>
      </c>
      <c r="M6" s="6">
        <f t="shared" si="0"/>
        <v>2.8549813979267301E-9</v>
      </c>
      <c r="N6" s="6">
        <f t="shared" si="1"/>
        <v>4.0962986020732711E-9</v>
      </c>
      <c r="O6" s="6">
        <f t="shared" si="3"/>
        <v>6.2065860207327069E-10</v>
      </c>
    </row>
    <row r="7" spans="1:22" x14ac:dyDescent="0.25">
      <c r="A7" s="5">
        <v>6</v>
      </c>
      <c r="B7" s="6">
        <f>'Plan1 (2)'!$G16</f>
        <v>2.0519999999999999E-9</v>
      </c>
      <c r="C7" s="6">
        <f>'Plan2 (2)'!$G16</f>
        <v>2.9427000000000002E-9</v>
      </c>
      <c r="D7" s="6">
        <f>'Plan3 (2)'!$G16</f>
        <v>2.1968000000000001E-9</v>
      </c>
      <c r="E7" s="6">
        <f>'Plan4 (2)'!$G16</f>
        <v>2.2823999999999999E-9</v>
      </c>
      <c r="F7" s="6">
        <f>'Plan5 (2)'!$G16</f>
        <v>2.8160999999999998E-9</v>
      </c>
      <c r="G7" s="6">
        <f>'Plan6 (2)'!$G16</f>
        <v>4.0517999999999996E-9</v>
      </c>
      <c r="H7" s="6">
        <f>'Plan7 (2)'!$G16</f>
        <v>3.9631999999999997E-9</v>
      </c>
      <c r="I7" s="6">
        <f>'Plan8 (2)'!$G16</f>
        <v>2.3140000000000001E-9</v>
      </c>
      <c r="J7" s="6">
        <f>'Plan9 (2)'!$G16</f>
        <v>2.3942999999999999E-9</v>
      </c>
      <c r="K7" s="6">
        <f>'Plan10 (2)'!$G16</f>
        <v>3.6546000000000002E-9</v>
      </c>
      <c r="L7" s="7">
        <f t="shared" si="2"/>
        <v>2.8667899999999998E-9</v>
      </c>
      <c r="M7" s="6">
        <f t="shared" si="0"/>
        <v>2.3220715848520488E-9</v>
      </c>
      <c r="N7" s="6">
        <f t="shared" si="1"/>
        <v>3.4115084151479508E-9</v>
      </c>
      <c r="O7" s="6">
        <f t="shared" si="3"/>
        <v>5.4471841514795121E-10</v>
      </c>
    </row>
    <row r="8" spans="1:22" x14ac:dyDescent="0.25">
      <c r="A8" s="5">
        <v>7</v>
      </c>
      <c r="B8" s="6">
        <f>'Plan1 (2)'!$G17</f>
        <v>1.7296999999999999E-9</v>
      </c>
      <c r="C8" s="6">
        <f>'Plan2 (2)'!$G17</f>
        <v>2.3334999999999999E-9</v>
      </c>
      <c r="D8" s="6">
        <f>'Plan3 (2)'!$G17</f>
        <v>1.5637000000000001E-9</v>
      </c>
      <c r="E8" s="6">
        <f>'Plan4 (2)'!$G17</f>
        <v>1.6762000000000001E-9</v>
      </c>
      <c r="F8" s="6">
        <f>'Plan5 (2)'!$G17</f>
        <v>2.5985000000000001E-9</v>
      </c>
      <c r="G8" s="6">
        <f>'Plan6 (2)'!$G17</f>
        <v>3.2859E-9</v>
      </c>
      <c r="H8" s="6">
        <f>'Plan7 (2)'!$G17</f>
        <v>3.1116999999999999E-9</v>
      </c>
      <c r="I8" s="6">
        <f>'Plan8 (2)'!$G17</f>
        <v>1.6294E-9</v>
      </c>
      <c r="J8" s="6">
        <f>'Plan9 (2)'!$G17</f>
        <v>1.8195E-9</v>
      </c>
      <c r="K8" s="6">
        <f>'Plan10 (2)'!$G17</f>
        <v>2.8271999999999999E-9</v>
      </c>
      <c r="L8" s="7">
        <f t="shared" si="2"/>
        <v>2.2575299999999998E-9</v>
      </c>
      <c r="M8" s="6">
        <f t="shared" si="0"/>
        <v>1.7855345318324622E-9</v>
      </c>
      <c r="N8" s="6">
        <f t="shared" si="1"/>
        <v>2.7295254681675373E-9</v>
      </c>
      <c r="O8" s="6">
        <f t="shared" si="3"/>
        <v>4.7199546816753759E-10</v>
      </c>
    </row>
    <row r="9" spans="1:22" x14ac:dyDescent="0.25">
      <c r="A9" s="5">
        <v>8</v>
      </c>
      <c r="B9" s="6">
        <f>'Plan1 (2)'!$G18</f>
        <v>1.7666000000000001E-9</v>
      </c>
      <c r="C9" s="6">
        <f>'Plan2 (2)'!$G18</f>
        <v>2.4773000000000001E-9</v>
      </c>
      <c r="D9" s="6">
        <f>'Plan3 (2)'!$G18</f>
        <v>1.8832999999999999E-9</v>
      </c>
      <c r="E9" s="6">
        <f>'Plan4 (2)'!$G18</f>
        <v>1.8593E-9</v>
      </c>
      <c r="F9" s="6">
        <f>'Plan5 (2)'!$G18</f>
        <v>2.7458000000000002E-9</v>
      </c>
      <c r="G9" s="6">
        <f>'Plan6 (2)'!$G18</f>
        <v>2.9310999999999999E-9</v>
      </c>
      <c r="H9" s="6">
        <f>'Plan7 (2)'!$G18</f>
        <v>2.8815E-9</v>
      </c>
      <c r="I9" s="6">
        <f>'Plan8 (2)'!$G18</f>
        <v>1.8860999999999999E-9</v>
      </c>
      <c r="J9" s="6">
        <f>'Plan9 (2)'!$G18</f>
        <v>1.9472000000000001E-9</v>
      </c>
      <c r="K9" s="6">
        <f>'Plan10 (2)'!$G18</f>
        <v>2.8213000000000002E-9</v>
      </c>
      <c r="L9" s="7">
        <f t="shared" si="2"/>
        <v>2.31995E-9</v>
      </c>
      <c r="M9" s="6">
        <f t="shared" si="0"/>
        <v>1.9676753144451507E-9</v>
      </c>
      <c r="N9" s="6">
        <f t="shared" si="1"/>
        <v>2.6722246855548494E-9</v>
      </c>
      <c r="O9" s="6">
        <f t="shared" si="3"/>
        <v>3.5227468555484913E-10</v>
      </c>
    </row>
    <row r="10" spans="1:22" x14ac:dyDescent="0.25">
      <c r="A10" s="5">
        <v>9</v>
      </c>
      <c r="B10" s="6">
        <f>'Plan1 (2)'!$G19</f>
        <v>1.5514E-9</v>
      </c>
      <c r="C10" s="6">
        <f>'Plan2 (2)'!$G19</f>
        <v>2.0721999999999999E-9</v>
      </c>
      <c r="D10" s="6">
        <f>'Plan3 (2)'!$G19</f>
        <v>1.5313000000000001E-9</v>
      </c>
      <c r="E10" s="6">
        <f>'Plan4 (2)'!$G19</f>
        <v>1.5136E-9</v>
      </c>
      <c r="F10" s="6">
        <f>'Plan5 (2)'!$G19</f>
        <v>2.5812000000000001E-9</v>
      </c>
      <c r="G10" s="6">
        <f>'Plan6 (2)'!$G19</f>
        <v>2.3599000000000001E-9</v>
      </c>
      <c r="H10" s="6">
        <f>'Plan7 (2)'!$G19</f>
        <v>2.4173999999999999E-9</v>
      </c>
      <c r="I10" s="6">
        <f>'Plan8 (2)'!$G19</f>
        <v>1.8347000000000001E-9</v>
      </c>
      <c r="J10" s="6">
        <f>'Plan9 (2)'!$G19</f>
        <v>1.7282000000000001E-9</v>
      </c>
      <c r="K10" s="6">
        <f>'Plan10 (2)'!$G19</f>
        <v>2.4146999999999999E-9</v>
      </c>
      <c r="L10" s="7">
        <f t="shared" si="2"/>
        <v>2.0004599999999999E-9</v>
      </c>
      <c r="M10" s="6">
        <f t="shared" si="0"/>
        <v>1.7009733098678089E-9</v>
      </c>
      <c r="N10" s="6">
        <f t="shared" si="1"/>
        <v>2.299946690132191E-9</v>
      </c>
      <c r="O10" s="6">
        <f t="shared" si="3"/>
        <v>2.9948669013219107E-10</v>
      </c>
    </row>
    <row r="11" spans="1:22" x14ac:dyDescent="0.25">
      <c r="A11" s="8">
        <v>10</v>
      </c>
      <c r="B11" s="6">
        <f>'Plan1 (2)'!$G20</f>
        <v>1.3168E-9</v>
      </c>
      <c r="C11" s="6">
        <f>'Plan2 (2)'!$G20</f>
        <v>2.0024E-9</v>
      </c>
      <c r="D11" s="6">
        <f>'Plan3 (2)'!$G20</f>
        <v>1.2872000000000001E-9</v>
      </c>
      <c r="E11" s="6">
        <f>'Plan4 (2)'!$G20</f>
        <v>1.2263E-9</v>
      </c>
      <c r="F11" s="6">
        <f>'Plan5 (2)'!$G20</f>
        <v>2.4878E-9</v>
      </c>
      <c r="G11" s="6">
        <f>'Plan6 (2)'!$G20</f>
        <v>1.9865000000000001E-9</v>
      </c>
      <c r="H11" s="6">
        <f>'Plan7 (2)'!$G20</f>
        <v>2.1821000000000001E-9</v>
      </c>
      <c r="I11" s="6">
        <f>'Plan8 (2)'!$G20</f>
        <v>1.424E-9</v>
      </c>
      <c r="J11" s="6">
        <f>'Plan9 (2)'!$G20</f>
        <v>1.4984999999999999E-9</v>
      </c>
      <c r="K11" s="6">
        <f>'Plan10 (2)'!$G20</f>
        <v>2.1599E-9</v>
      </c>
      <c r="L11" s="7">
        <f t="shared" si="2"/>
        <v>1.7571499999999999E-9</v>
      </c>
      <c r="M11" s="6">
        <f t="shared" si="0"/>
        <v>1.4316088892619489E-9</v>
      </c>
      <c r="N11" s="6">
        <f t="shared" si="1"/>
        <v>2.0826911107380508E-9</v>
      </c>
      <c r="O11" s="6">
        <f t="shared" si="3"/>
        <v>3.2554111073805105E-10</v>
      </c>
    </row>
    <row r="12" spans="1:22" x14ac:dyDescent="0.25">
      <c r="A12" s="5">
        <v>11</v>
      </c>
      <c r="B12" s="6">
        <f>'Plan1 (2)'!$G21</f>
        <v>1.2781E-9</v>
      </c>
      <c r="C12" s="6">
        <f>'Plan2 (2)'!$G21</f>
        <v>1.9547999999999999E-9</v>
      </c>
      <c r="D12" s="6">
        <f>'Plan3 (2)'!$G21</f>
        <v>1.3600000000000001E-9</v>
      </c>
      <c r="E12" s="6">
        <f>'Plan4 (2)'!$G21</f>
        <v>1.3534999999999999E-9</v>
      </c>
      <c r="F12" s="6">
        <f>'Plan5 (2)'!$G21</f>
        <v>2.5473000000000001E-9</v>
      </c>
      <c r="G12" s="6">
        <f>'Plan6 (2)'!$G21</f>
        <v>1.775E-9</v>
      </c>
      <c r="H12" s="6">
        <f>'Plan7 (2)'!$G21</f>
        <v>1.9733999999999998E-9</v>
      </c>
      <c r="I12" s="6">
        <f>'Plan8 (2)'!$G21</f>
        <v>1.465E-9</v>
      </c>
      <c r="J12" s="6">
        <f>'Plan9 (2)'!$G21</f>
        <v>1.4754999999999999E-9</v>
      </c>
      <c r="K12" s="6">
        <f>'Plan10 (2)'!$G21</f>
        <v>2.1244999999999998E-9</v>
      </c>
      <c r="L12" s="7">
        <f t="shared" si="2"/>
        <v>1.7307099999999999E-9</v>
      </c>
      <c r="M12" s="6">
        <f t="shared" si="0"/>
        <v>1.4335263680599623E-9</v>
      </c>
      <c r="N12" s="6">
        <f t="shared" si="1"/>
        <v>2.0278936319400375E-9</v>
      </c>
      <c r="O12" s="6">
        <f t="shared" si="3"/>
        <v>2.9718363194003755E-10</v>
      </c>
    </row>
    <row r="13" spans="1:22" x14ac:dyDescent="0.25">
      <c r="A13" s="5">
        <v>12</v>
      </c>
      <c r="B13" s="6">
        <f>'Plan1 (2)'!$G22</f>
        <v>1.2880000000000001E-9</v>
      </c>
      <c r="C13" s="6">
        <f>'Plan2 (2)'!$G22</f>
        <v>1.9543000000000002E-9</v>
      </c>
      <c r="D13" s="6">
        <f>'Plan3 (2)'!$G22</f>
        <v>1.1969000000000001E-9</v>
      </c>
      <c r="E13" s="6">
        <f>'Plan4 (2)'!$G22</f>
        <v>1.2339000000000001E-9</v>
      </c>
      <c r="F13" s="6">
        <f>'Plan5 (2)'!$G22</f>
        <v>2.4916E-9</v>
      </c>
      <c r="G13" s="6">
        <f>'Plan6 (2)'!$G22</f>
        <v>1.6428E-9</v>
      </c>
      <c r="H13" s="6">
        <f>'Plan7 (2)'!$G22</f>
        <v>1.8793999999999999E-9</v>
      </c>
      <c r="I13" s="6">
        <f>'Plan8 (2)'!$G22</f>
        <v>1.3492000000000001E-9</v>
      </c>
      <c r="J13" s="6">
        <f>'Plan9 (2)'!$G22</f>
        <v>1.3701000000000001E-9</v>
      </c>
      <c r="K13" s="6">
        <f>'Plan10 (2)'!$G22</f>
        <v>2.0295000000000001E-9</v>
      </c>
      <c r="L13" s="7">
        <f t="shared" si="2"/>
        <v>1.6435699999999999E-9</v>
      </c>
      <c r="M13" s="6">
        <f t="shared" si="0"/>
        <v>1.3349165886015754E-9</v>
      </c>
      <c r="N13" s="6">
        <f t="shared" si="1"/>
        <v>1.9522234113984243E-9</v>
      </c>
      <c r="O13" s="6">
        <f t="shared" si="3"/>
        <v>3.0865341139842452E-10</v>
      </c>
    </row>
    <row r="14" spans="1:22" x14ac:dyDescent="0.25">
      <c r="A14" s="5">
        <v>13</v>
      </c>
      <c r="B14" s="6">
        <f>'Plan1 (2)'!$G23</f>
        <v>1.1045000000000001E-9</v>
      </c>
      <c r="C14" s="6">
        <f>'Plan2 (2)'!$G23</f>
        <v>1.8297E-9</v>
      </c>
      <c r="D14" s="6">
        <f>'Plan3 (2)'!$G23</f>
        <v>9.9431000000000005E-10</v>
      </c>
      <c r="E14" s="6">
        <f>'Plan4 (2)'!$G23</f>
        <v>1.0864000000000001E-9</v>
      </c>
      <c r="F14" s="6">
        <f>'Plan5 (2)'!$G23</f>
        <v>2.4344000000000002E-9</v>
      </c>
      <c r="G14" s="6">
        <f>'Plan6 (2)'!$G23</f>
        <v>1.4323999999999999E-9</v>
      </c>
      <c r="H14" s="6">
        <f>'Plan7 (2)'!$G23</f>
        <v>1.6722000000000001E-9</v>
      </c>
      <c r="I14" s="6">
        <f>'Plan8 (2)'!$G23</f>
        <v>1.2576000000000001E-9</v>
      </c>
      <c r="J14" s="6">
        <f>'Plan9 (2)'!$G23</f>
        <v>1.2764000000000001E-9</v>
      </c>
      <c r="K14" s="6">
        <f>'Plan10 (2)'!$G23</f>
        <v>1.9079E-9</v>
      </c>
      <c r="L14" s="7">
        <f t="shared" si="2"/>
        <v>1.499581E-9</v>
      </c>
      <c r="M14" s="6">
        <f t="shared" si="0"/>
        <v>1.1731215092832047E-9</v>
      </c>
      <c r="N14" s="6">
        <f t="shared" si="1"/>
        <v>1.8260404907167954E-9</v>
      </c>
      <c r="O14" s="6">
        <f t="shared" si="3"/>
        <v>3.2645949071679525E-10</v>
      </c>
    </row>
    <row r="15" spans="1:22" x14ac:dyDescent="0.25">
      <c r="A15" s="5">
        <v>14</v>
      </c>
      <c r="B15" s="6">
        <f>'Plan1 (2)'!$G24</f>
        <v>1.0422E-9</v>
      </c>
      <c r="C15" s="6">
        <f>'Plan2 (2)'!$G24</f>
        <v>1.7862999999999999E-9</v>
      </c>
      <c r="D15" s="6">
        <f>'Plan3 (2)'!$G24</f>
        <v>9.5709999999999993E-10</v>
      </c>
      <c r="E15" s="6">
        <f>'Plan4 (2)'!$G24</f>
        <v>1.0489E-9</v>
      </c>
      <c r="F15" s="6">
        <f>'Plan5 (2)'!$G24</f>
        <v>2.4657999999999999E-9</v>
      </c>
      <c r="G15" s="6">
        <f>'Plan6 (2)'!$G24</f>
        <v>1.4478999999999999E-9</v>
      </c>
      <c r="H15" s="6">
        <f>'Plan7 (2)'!$G24</f>
        <v>1.5246000000000001E-9</v>
      </c>
      <c r="I15" s="6">
        <f>'Plan8 (2)'!$G24</f>
        <v>1.1645000000000001E-9</v>
      </c>
      <c r="J15" s="6">
        <f>'Plan9 (2)'!$G24</f>
        <v>1.1822999999999999E-9</v>
      </c>
      <c r="K15" s="6">
        <f>'Plan10 (2)'!$G24</f>
        <v>1.7660999999999999E-9</v>
      </c>
      <c r="L15" s="7">
        <f t="shared" si="2"/>
        <v>1.4385699999999999E-9</v>
      </c>
      <c r="M15" s="6">
        <f t="shared" si="0"/>
        <v>1.1036794117378656E-9</v>
      </c>
      <c r="N15" s="6">
        <f t="shared" si="1"/>
        <v>1.7734605882621342E-9</v>
      </c>
      <c r="O15" s="6">
        <f t="shared" si="3"/>
        <v>3.3489058826213423E-10</v>
      </c>
    </row>
    <row r="16" spans="1:22" x14ac:dyDescent="0.25">
      <c r="A16" s="5">
        <v>15</v>
      </c>
      <c r="B16" s="6">
        <f>'Plan1 (2)'!$G25</f>
        <v>1.1262999999999999E-9</v>
      </c>
      <c r="C16" s="6">
        <f>'Plan2 (2)'!$G25</f>
        <v>1.7687999999999999E-9</v>
      </c>
      <c r="D16" s="6">
        <f>'Plan3 (2)'!$G25</f>
        <v>9.8354999999999998E-10</v>
      </c>
      <c r="E16" s="6">
        <f>'Plan4 (2)'!$G25</f>
        <v>1.0466000000000001E-9</v>
      </c>
      <c r="F16" s="6">
        <f>'Plan5 (2)'!$G25</f>
        <v>2.4880000000000001E-9</v>
      </c>
      <c r="G16" s="6">
        <f>'Plan6 (2)'!$G25</f>
        <v>1.4545999999999999E-9</v>
      </c>
      <c r="H16" s="6">
        <f>'Plan7 (2)'!$G25</f>
        <v>1.4685E-9</v>
      </c>
      <c r="I16" s="6">
        <f>'Plan8 (2)'!$G25</f>
        <v>1.1806E-9</v>
      </c>
      <c r="J16" s="6">
        <f>'Plan9 (2)'!$G25</f>
        <v>1.1879E-9</v>
      </c>
      <c r="K16" s="6">
        <f>'Plan10 (2)'!$G25</f>
        <v>1.7467E-9</v>
      </c>
      <c r="L16" s="7">
        <f t="shared" si="2"/>
        <v>1.4451550000000001E-9</v>
      </c>
      <c r="M16" s="6">
        <f t="shared" si="0"/>
        <v>1.117025343497917E-9</v>
      </c>
      <c r="N16" s="6">
        <f t="shared" si="1"/>
        <v>1.7732846565020831E-9</v>
      </c>
      <c r="O16" s="6">
        <f t="shared" si="3"/>
        <v>3.2812965650208316E-10</v>
      </c>
    </row>
    <row r="17" spans="1:17" x14ac:dyDescent="0.25">
      <c r="A17" s="5">
        <v>16</v>
      </c>
      <c r="B17" s="6">
        <f>'Plan1 (2)'!$G26</f>
        <v>1.0183000000000001E-9</v>
      </c>
      <c r="C17" s="6">
        <f>'Plan2 (2)'!$G26</f>
        <v>1.6462E-9</v>
      </c>
      <c r="D17" s="6">
        <f>'Plan3 (2)'!$G26</f>
        <v>8.4640999999999998E-10</v>
      </c>
      <c r="E17" s="6">
        <f>'Plan4 (2)'!$G26</f>
        <v>9.4191999999999999E-10</v>
      </c>
      <c r="F17" s="6">
        <f>'Plan5 (2)'!$G26</f>
        <v>2.5008999999999999E-9</v>
      </c>
      <c r="G17" s="6">
        <f>'Plan6 (2)'!$G26</f>
        <v>1.3438000000000001E-9</v>
      </c>
      <c r="H17" s="6">
        <f>'Plan7 (2)'!$G26</f>
        <v>1.3344000000000001E-9</v>
      </c>
      <c r="I17" s="6">
        <f>'Plan8 (2)'!$G26</f>
        <v>1.1413E-9</v>
      </c>
      <c r="J17" s="6">
        <f>'Plan9 (2)'!$G26</f>
        <v>1.064E-9</v>
      </c>
      <c r="K17" s="6">
        <f>'Plan10 (2)'!$G26</f>
        <v>1.6058E-9</v>
      </c>
      <c r="L17" s="7">
        <f t="shared" si="2"/>
        <v>1.3443030000000001E-9</v>
      </c>
      <c r="M17" s="6">
        <f t="shared" si="0"/>
        <v>9.9603160592503808E-10</v>
      </c>
      <c r="N17" s="6">
        <f t="shared" si="1"/>
        <v>1.6925743940749622E-9</v>
      </c>
      <c r="O17" s="6">
        <f t="shared" si="3"/>
        <v>3.4827139407496205E-10</v>
      </c>
    </row>
    <row r="18" spans="1:17" x14ac:dyDescent="0.25">
      <c r="A18" s="5">
        <v>17</v>
      </c>
      <c r="B18" s="6">
        <f>'Plan1 (2)'!$G27</f>
        <v>9.6261999999999993E-10</v>
      </c>
      <c r="C18" s="6">
        <f>'Plan2 (2)'!$G27</f>
        <v>1.6561999999999999E-9</v>
      </c>
      <c r="D18" s="6">
        <f>'Plan3 (2)'!$G27</f>
        <v>8.1591000000000003E-10</v>
      </c>
      <c r="E18" s="6">
        <f>'Plan4 (2)'!$G27</f>
        <v>8.7522E-10</v>
      </c>
      <c r="F18" s="6">
        <f>'Plan5 (2)'!$G27</f>
        <v>2.5175E-9</v>
      </c>
      <c r="G18" s="6">
        <f>'Plan6 (2)'!$G27</f>
        <v>1.3323E-9</v>
      </c>
      <c r="H18" s="6">
        <f>'Plan7 (2)'!$G27</f>
        <v>1.2897E-9</v>
      </c>
      <c r="I18" s="6">
        <f>'Plan8 (2)'!$G27</f>
        <v>9.9764999999999996E-10</v>
      </c>
      <c r="J18" s="6">
        <f>'Plan9 (2)'!$G27</f>
        <v>9.8609999999999993E-10</v>
      </c>
      <c r="K18" s="6">
        <f>'Plan10 (2)'!$G27</f>
        <v>1.4968E-9</v>
      </c>
      <c r="L18" s="7">
        <f t="shared" si="2"/>
        <v>1.293E-9</v>
      </c>
      <c r="M18" s="6">
        <f t="shared" si="0"/>
        <v>9.2612972370418993E-10</v>
      </c>
      <c r="N18" s="6">
        <f t="shared" si="1"/>
        <v>1.6598702762958099E-9</v>
      </c>
      <c r="O18" s="6">
        <f t="shared" si="3"/>
        <v>3.6687027629581005E-10</v>
      </c>
    </row>
    <row r="19" spans="1:17" x14ac:dyDescent="0.25">
      <c r="A19" s="8">
        <v>18</v>
      </c>
      <c r="B19" s="6">
        <f>'Plan1 (2)'!$G28</f>
        <v>9.7702E-10</v>
      </c>
      <c r="C19" s="6">
        <f>'Plan2 (2)'!$G28</f>
        <v>1.6034000000000001E-9</v>
      </c>
      <c r="D19" s="6">
        <f>'Plan3 (2)'!$G28</f>
        <v>8.4205999999999999E-10</v>
      </c>
      <c r="E19" s="6">
        <f>'Plan4 (2)'!$G28</f>
        <v>8.9191999999999996E-10</v>
      </c>
      <c r="F19" s="6">
        <f>'Plan5 (2)'!$G28</f>
        <v>2.5346999999999999E-9</v>
      </c>
      <c r="G19" s="6">
        <f>'Plan6 (2)'!$G28</f>
        <v>1.3134E-9</v>
      </c>
      <c r="H19" s="6">
        <f>'Plan7 (2)'!$G28</f>
        <v>1.2358E-9</v>
      </c>
      <c r="I19" s="6">
        <f>'Plan8 (2)'!$G28</f>
        <v>1.0274E-9</v>
      </c>
      <c r="J19" s="6">
        <f>'Plan9 (2)'!$G28</f>
        <v>1.0035999999999999E-9</v>
      </c>
      <c r="K19" s="6">
        <f>'Plan10 (2)'!$G28</f>
        <v>1.4346E-9</v>
      </c>
      <c r="L19" s="7">
        <f t="shared" si="2"/>
        <v>1.2863899999999999E-9</v>
      </c>
      <c r="M19" s="6">
        <f t="shared" si="0"/>
        <v>9.2634914709462524E-10</v>
      </c>
      <c r="N19" s="6">
        <f t="shared" si="1"/>
        <v>1.6464308529053746E-9</v>
      </c>
      <c r="O19" s="6">
        <f t="shared" si="3"/>
        <v>3.6004085290537465E-10</v>
      </c>
    </row>
    <row r="20" spans="1:17" x14ac:dyDescent="0.25">
      <c r="A20" s="9">
        <v>19</v>
      </c>
      <c r="B20" s="6">
        <f>'Plan1 (2)'!$G29</f>
        <v>9.2134000000000005E-10</v>
      </c>
      <c r="C20" s="6">
        <f>'Plan2 (2)'!$G29</f>
        <v>1.5786999999999999E-9</v>
      </c>
      <c r="D20" s="6">
        <f>'Plan3 (2)'!$G29</f>
        <v>7.4053000000000003E-10</v>
      </c>
      <c r="E20" s="6">
        <f>'Plan4 (2)'!$G29</f>
        <v>8.6199000000000004E-10</v>
      </c>
      <c r="F20" s="6">
        <f>'Plan5 (2)'!$G29</f>
        <v>2.5450999999999998E-9</v>
      </c>
      <c r="G20" s="6">
        <f>'Plan6 (2)'!$G29</f>
        <v>1.2357E-9</v>
      </c>
      <c r="H20" s="6">
        <f>'Plan7 (2)'!$G29</f>
        <v>1.2033E-9</v>
      </c>
      <c r="I20" s="6">
        <f>'Plan8 (2)'!$G29</f>
        <v>1.0133E-9</v>
      </c>
      <c r="J20" s="6">
        <f>'Plan9 (2)'!$G29</f>
        <v>9.3455999999999992E-10</v>
      </c>
      <c r="K20" s="6">
        <f>'Plan10 (2)'!$G29</f>
        <v>1.3986999999999999E-9</v>
      </c>
      <c r="L20" s="7">
        <f t="shared" si="2"/>
        <v>1.2433220000000002E-9</v>
      </c>
      <c r="M20" s="6">
        <f t="shared" si="0"/>
        <v>8.6757708743567959E-10</v>
      </c>
      <c r="N20" s="6">
        <f t="shared" si="1"/>
        <v>1.6190669125643209E-9</v>
      </c>
      <c r="O20" s="6">
        <f t="shared" si="3"/>
        <v>3.7574491256432069E-10</v>
      </c>
    </row>
    <row r="21" spans="1:17" x14ac:dyDescent="0.25">
      <c r="A21" s="9">
        <v>20</v>
      </c>
      <c r="B21" s="6">
        <f>'Plan1 (2)'!$G30</f>
        <v>8.6825999999999996E-10</v>
      </c>
      <c r="C21" s="6">
        <f>'Plan2 (2)'!$G30</f>
        <v>1.5247999999999999E-9</v>
      </c>
      <c r="D21" s="6">
        <f>'Plan3 (2)'!$G30</f>
        <v>6.9863E-10</v>
      </c>
      <c r="E21" s="6">
        <f>'Plan4 (2)'!$G30</f>
        <v>7.8645999999999999E-10</v>
      </c>
      <c r="F21" s="6">
        <f>'Plan5 (2)'!$G30</f>
        <v>2.5337E-9</v>
      </c>
      <c r="G21" s="6">
        <f>'Plan6 (2)'!$G30</f>
        <v>1.1187000000000001E-9</v>
      </c>
      <c r="H21" s="6">
        <f>'Plan7 (2)'!$G30</f>
        <v>1.1547E-9</v>
      </c>
      <c r="I21" s="6">
        <f>'Plan8 (2)'!$G30</f>
        <v>9.6628999999999998E-10</v>
      </c>
      <c r="J21" s="6">
        <f>'Plan9 (2)'!$G30</f>
        <v>8.8751999999999995E-10</v>
      </c>
      <c r="K21" s="6">
        <f>'Plan10 (2)'!$G30</f>
        <v>1.3307E-9</v>
      </c>
      <c r="L21" s="7">
        <f t="shared" si="2"/>
        <v>1.1869759999999999E-9</v>
      </c>
      <c r="M21" s="6">
        <f t="shared" si="0"/>
        <v>8.0300104000167845E-10</v>
      </c>
      <c r="N21" s="6">
        <f t="shared" si="1"/>
        <v>1.5709509599983214E-9</v>
      </c>
      <c r="O21" s="6">
        <f t="shared" si="3"/>
        <v>3.8397495999832143E-10</v>
      </c>
      <c r="P21" s="6"/>
    </row>
    <row r="22" spans="1:17" x14ac:dyDescent="0.25">
      <c r="A22" s="9">
        <v>21</v>
      </c>
      <c r="B22" s="6">
        <f>'Plan1 (2)'!$G31</f>
        <v>8.6047000000000003E-10</v>
      </c>
      <c r="C22" s="6">
        <f>'Plan2 (2)'!$G31</f>
        <v>1.5287999999999999E-9</v>
      </c>
      <c r="D22" s="6">
        <f>'Plan3 (2)'!$G31</f>
        <v>7.2675999999999998E-10</v>
      </c>
      <c r="E22" s="6">
        <f>'Plan4 (2)'!$G31</f>
        <v>7.9407000000000003E-10</v>
      </c>
      <c r="F22" s="6">
        <f>'Plan5 (2)'!$G31</f>
        <v>2.5351000000000001E-9</v>
      </c>
      <c r="G22" s="6">
        <f>'Plan6 (2)'!$G31</f>
        <v>1.0745E-9</v>
      </c>
      <c r="H22" s="6">
        <f>'Plan7 (2)'!$G31</f>
        <v>1.1548E-9</v>
      </c>
      <c r="I22" s="6">
        <f>'Plan8 (2)'!$G31</f>
        <v>9.2642999999999997E-10</v>
      </c>
      <c r="J22" s="6">
        <f>'Plan9 (2)'!$G31</f>
        <v>8.6048000000000001E-10</v>
      </c>
      <c r="K22" s="6">
        <f>'Plan10 (2)'!$G31</f>
        <v>1.2337E-9</v>
      </c>
      <c r="L22" s="7">
        <f>AVERAGE(B22:K22)</f>
        <v>1.1695109999999999E-9</v>
      </c>
      <c r="M22" s="6">
        <f t="shared" si="0"/>
        <v>7.8543510680890466E-10</v>
      </c>
      <c r="N22" s="6">
        <f t="shared" si="1"/>
        <v>1.5535868931910951E-9</v>
      </c>
      <c r="O22" s="6">
        <f t="shared" si="3"/>
        <v>3.8407589319109527E-10</v>
      </c>
      <c r="P22" s="12"/>
      <c r="Q22" s="6"/>
    </row>
    <row r="23" spans="1:17" x14ac:dyDescent="0.25">
      <c r="A23" s="9">
        <v>22</v>
      </c>
      <c r="B23" s="6">
        <f>'Plan1 (2)'!$G32</f>
        <v>8.3059000000000002E-10</v>
      </c>
      <c r="C23" s="6">
        <f>'Plan2 (2)'!$G32</f>
        <v>1.5152999999999999E-9</v>
      </c>
      <c r="D23" s="6">
        <f>'Plan3 (2)'!$G32</f>
        <v>6.9000999999999998E-10</v>
      </c>
      <c r="E23" s="6">
        <f>'Plan4 (2)'!$G32</f>
        <v>7.6984999999999998E-10</v>
      </c>
      <c r="F23" s="6">
        <f>'Plan5 (2)'!$G32</f>
        <v>2.5354000000000002E-9</v>
      </c>
      <c r="G23" s="6">
        <f>'Plan6 (2)'!$G32</f>
        <v>1.0314E-9</v>
      </c>
      <c r="H23" s="6">
        <f>'Plan7 (2)'!$G32</f>
        <v>1.1471999999999999E-9</v>
      </c>
      <c r="I23" s="6">
        <f>'Plan8 (2)'!$G32</f>
        <v>9.1856999999999996E-10</v>
      </c>
      <c r="J23" s="6">
        <f>'Plan9 (2)'!$G32</f>
        <v>8.6283000000000001E-10</v>
      </c>
      <c r="K23" s="6">
        <f>'Plan10 (2)'!$G32</f>
        <v>1.1549E-9</v>
      </c>
      <c r="L23" s="7">
        <f t="shared" si="2"/>
        <v>1.145605E-9</v>
      </c>
      <c r="M23" s="6">
        <f t="shared" si="0"/>
        <v>7.5663996159916451E-10</v>
      </c>
      <c r="N23" s="6">
        <f t="shared" si="1"/>
        <v>1.5345700384008355E-9</v>
      </c>
      <c r="O23" s="6">
        <f t="shared" si="3"/>
        <v>3.8896503840083549E-10</v>
      </c>
    </row>
    <row r="24" spans="1:17" x14ac:dyDescent="0.25">
      <c r="A24" s="9">
        <v>23</v>
      </c>
      <c r="B24" s="6">
        <f>'Plan1 (2)'!$G33</f>
        <v>8.0119999999999998E-10</v>
      </c>
      <c r="C24" s="6">
        <f>'Plan2 (2)'!$G33</f>
        <v>1.4712E-9</v>
      </c>
      <c r="D24" s="6">
        <f>'Plan3 (2)'!$G33</f>
        <v>6.6186000000000003E-10</v>
      </c>
      <c r="E24" s="6">
        <f>'Plan4 (2)'!$G33</f>
        <v>7.1757000000000004E-10</v>
      </c>
      <c r="F24" s="6">
        <f>'Plan5 (2)'!$G33</f>
        <v>2.5113999999999998E-9</v>
      </c>
      <c r="G24" s="6">
        <f>'Plan6 (2)'!$G33</f>
        <v>1.0008999999999999E-9</v>
      </c>
      <c r="H24" s="6">
        <f>'Plan7 (2)'!$G33</f>
        <v>1.0978000000000001E-9</v>
      </c>
      <c r="I24" s="6">
        <f>'Plan8 (2)'!$G33</f>
        <v>9.1656999999999997E-10</v>
      </c>
      <c r="J24" s="6">
        <f>'Plan9 (2)'!$G33</f>
        <v>8.4727999999999999E-10</v>
      </c>
      <c r="K24" s="6">
        <f>'Plan10 (2)'!$G33</f>
        <v>1.0356E-9</v>
      </c>
      <c r="L24" s="7">
        <f t="shared" si="2"/>
        <v>1.1061379999999998E-9</v>
      </c>
      <c r="M24" s="6">
        <f t="shared" si="0"/>
        <v>7.1661680938231747E-10</v>
      </c>
      <c r="N24" s="6">
        <f t="shared" si="1"/>
        <v>1.4956591906176823E-9</v>
      </c>
      <c r="O24" s="6">
        <f t="shared" si="3"/>
        <v>3.8952119061768238E-10</v>
      </c>
    </row>
    <row r="25" spans="1:17" x14ac:dyDescent="0.25">
      <c r="A25" s="9">
        <v>24</v>
      </c>
      <c r="B25" s="6">
        <f>'Plan1 (2)'!$G34</f>
        <v>7.5697000000000002E-10</v>
      </c>
      <c r="C25" s="6">
        <f>'Plan2 (2)'!$G34</f>
        <v>1.4751E-9</v>
      </c>
      <c r="D25" s="6">
        <f>'Plan3 (2)'!$G34</f>
        <v>6.5635000000000001E-10</v>
      </c>
      <c r="E25" s="6">
        <f>'Plan4 (2)'!$G34</f>
        <v>7.1988E-10</v>
      </c>
      <c r="F25" s="6">
        <f>'Plan5 (2)'!$G34</f>
        <v>2.4927999999999999E-9</v>
      </c>
      <c r="G25" s="6">
        <f>'Plan6 (2)'!$G34</f>
        <v>9.9484999999999993E-10</v>
      </c>
      <c r="H25" s="6">
        <f>'Plan7 (2)'!$G34</f>
        <v>1.0625E-9</v>
      </c>
      <c r="I25" s="6">
        <f>'Plan8 (2)'!$G34</f>
        <v>8.6190999999999997E-10</v>
      </c>
      <c r="J25" s="6">
        <f>'Plan9 (2)'!$G34</f>
        <v>8.0400000000000002E-10</v>
      </c>
      <c r="K25" s="6">
        <f>'Plan10 (2)'!$G34</f>
        <v>1.0076999999999999E-9</v>
      </c>
      <c r="L25" s="7">
        <f t="shared" si="2"/>
        <v>1.083206E-9</v>
      </c>
      <c r="M25" s="6">
        <f t="shared" si="0"/>
        <v>6.9124071318686049E-10</v>
      </c>
      <c r="N25" s="6">
        <f t="shared" si="1"/>
        <v>1.4751712868131396E-9</v>
      </c>
      <c r="O25" s="6">
        <f t="shared" si="3"/>
        <v>3.919652868131395E-10</v>
      </c>
    </row>
    <row r="26" spans="1:17" x14ac:dyDescent="0.25">
      <c r="A26" s="9">
        <v>25</v>
      </c>
      <c r="B26" s="6">
        <f>'Plan1 (2)'!$G35</f>
        <v>7.4371000000000001E-10</v>
      </c>
      <c r="C26" s="6">
        <f>'Plan2 (2)'!$G35</f>
        <v>1.4395E-9</v>
      </c>
      <c r="D26" s="6">
        <f>'Plan3 (2)'!$G35</f>
        <v>6.3187999999999999E-10</v>
      </c>
      <c r="E26" s="6">
        <f>'Plan4 (2)'!$G35</f>
        <v>6.9312999999999996E-10</v>
      </c>
      <c r="F26" s="6">
        <f>'Plan5 (2)'!$G35</f>
        <v>2.4760000000000001E-9</v>
      </c>
      <c r="G26" s="6">
        <f>'Plan6 (2)'!$G35</f>
        <v>9.838299999999999E-10</v>
      </c>
      <c r="H26" s="6">
        <f>'Plan7 (2)'!$G35</f>
        <v>1.03E-9</v>
      </c>
      <c r="I26" s="6">
        <f>'Plan8 (2)'!$G35</f>
        <v>8.6018000000000002E-10</v>
      </c>
      <c r="J26" s="6">
        <f>'Plan9 (2)'!$G35</f>
        <v>8.1498999999999999E-10</v>
      </c>
      <c r="K26" s="6">
        <f>'Plan10 (2)'!$G35</f>
        <v>9.7478000000000002E-10</v>
      </c>
      <c r="L26" s="7">
        <f t="shared" si="2"/>
        <v>1.0647999999999999E-9</v>
      </c>
      <c r="M26" s="6">
        <f t="shared" si="0"/>
        <v>6.7438666959120655E-10</v>
      </c>
      <c r="N26" s="6">
        <f t="shared" si="1"/>
        <v>1.4552133304087932E-9</v>
      </c>
      <c r="O26" s="6">
        <f t="shared" si="3"/>
        <v>3.9041333040879327E-10</v>
      </c>
    </row>
    <row r="27" spans="1:17" x14ac:dyDescent="0.25">
      <c r="A27" s="9">
        <v>26</v>
      </c>
      <c r="B27" s="6">
        <f>'Plan1 (2)'!$G36</f>
        <v>7.2446E-10</v>
      </c>
      <c r="C27" s="6">
        <f>'Plan2 (2)'!$G36</f>
        <v>1.4383999999999999E-9</v>
      </c>
      <c r="D27" s="6">
        <f>'Plan3 (2)'!$G36</f>
        <v>6.0644000000000003E-10</v>
      </c>
      <c r="E27" s="6">
        <f>'Plan4 (2)'!$G36</f>
        <v>6.6998999999999998E-10</v>
      </c>
      <c r="F27" s="6">
        <f>'Plan5 (2)'!$G36</f>
        <v>2.4431E-9</v>
      </c>
      <c r="G27" s="6">
        <f>'Plan6 (2)'!$G36</f>
        <v>9.2729999999999999E-10</v>
      </c>
      <c r="H27" s="6">
        <f>'Plan7 (2)'!$G36</f>
        <v>9.9120999999999993E-10</v>
      </c>
      <c r="I27" s="6">
        <f>'Plan8 (2)'!$G36</f>
        <v>8.5779999999999997E-10</v>
      </c>
      <c r="J27" s="6">
        <f>'Plan9 (2)'!$G36</f>
        <v>7.9017999999999995E-10</v>
      </c>
      <c r="K27" s="6">
        <f>'Plan10 (2)'!$G36</f>
        <v>9.5965000000000009E-10</v>
      </c>
      <c r="L27" s="7">
        <f t="shared" si="2"/>
        <v>1.0408529999999999E-9</v>
      </c>
      <c r="M27" s="6">
        <f t="shared" si="0"/>
        <v>6.5129193305113928E-10</v>
      </c>
      <c r="N27" s="6">
        <f t="shared" si="1"/>
        <v>1.4304140669488605E-9</v>
      </c>
      <c r="O27" s="6">
        <f t="shared" si="3"/>
        <v>3.8956106694886067E-10</v>
      </c>
    </row>
    <row r="28" spans="1:17" x14ac:dyDescent="0.25">
      <c r="A28" s="9">
        <v>27</v>
      </c>
      <c r="B28" s="6">
        <f>'Plan1 (2)'!$G37</f>
        <v>6.7340999999999995E-10</v>
      </c>
      <c r="C28" s="6">
        <f>'Plan2 (2)'!$G37</f>
        <v>1.4229999999999999E-9</v>
      </c>
      <c r="D28" s="6">
        <f>'Plan3 (2)'!$G37</f>
        <v>6.1145999999999998E-10</v>
      </c>
      <c r="E28" s="6">
        <f>'Plan4 (2)'!$G37</f>
        <v>6.6179000000000005E-10</v>
      </c>
      <c r="F28" s="6">
        <f>'Plan5 (2)'!$G37</f>
        <v>2.4134E-9</v>
      </c>
      <c r="G28" s="6">
        <f>'Plan6 (2)'!$G37</f>
        <v>8.7628999999999998E-10</v>
      </c>
      <c r="H28" s="6">
        <f>'Plan7 (2)'!$G37</f>
        <v>9.7201000000000004E-10</v>
      </c>
      <c r="I28" s="6">
        <f>'Plan8 (2)'!$G37</f>
        <v>8.3329000000000002E-10</v>
      </c>
      <c r="J28" s="6">
        <f>'Plan9 (2)'!$G37</f>
        <v>7.5129999999999998E-10</v>
      </c>
      <c r="K28" s="6">
        <f>'Plan10 (2)'!$G37</f>
        <v>9.4564999999999993E-10</v>
      </c>
      <c r="L28" s="7">
        <f t="shared" si="2"/>
        <v>1.0161599999999999E-9</v>
      </c>
      <c r="M28" s="6">
        <f t="shared" si="0"/>
        <v>6.2764275522465448E-10</v>
      </c>
      <c r="N28" s="6">
        <f t="shared" si="1"/>
        <v>1.4046772447753454E-9</v>
      </c>
      <c r="O28" s="6">
        <f t="shared" si="3"/>
        <v>3.885172447753455E-10</v>
      </c>
    </row>
    <row r="29" spans="1:17" x14ac:dyDescent="0.25">
      <c r="A29" s="9">
        <v>28</v>
      </c>
      <c r="B29" s="6">
        <f>'Plan1 (2)'!$G38</f>
        <v>6.8905000000000001E-10</v>
      </c>
      <c r="C29" s="6">
        <f>'Plan2 (2)'!$G38</f>
        <v>1.4271E-9</v>
      </c>
      <c r="D29" s="6">
        <f>'Plan3 (2)'!$G38</f>
        <v>6.0233000000000003E-10</v>
      </c>
      <c r="E29" s="6">
        <f>'Plan4 (2)'!$G38</f>
        <v>6.7676000000000005E-10</v>
      </c>
      <c r="F29" s="6">
        <f>'Plan5 (2)'!$G38</f>
        <v>2.3802000000000001E-9</v>
      </c>
      <c r="G29" s="6">
        <f>'Plan6 (2)'!$G38</f>
        <v>8.7893999999999997E-10</v>
      </c>
      <c r="H29" s="6">
        <f>'Plan7 (2)'!$G38</f>
        <v>9.7136999999999992E-10</v>
      </c>
      <c r="I29" s="6">
        <f>'Plan8 (2)'!$G38</f>
        <v>8.0451000000000005E-10</v>
      </c>
      <c r="J29" s="6">
        <f>'Plan9 (2)'!$G38</f>
        <v>7.4330000000000001E-10</v>
      </c>
      <c r="K29" s="6">
        <f>'Plan10 (2)'!$G38</f>
        <v>8.9976999999999999E-10</v>
      </c>
      <c r="L29" s="7">
        <f t="shared" si="2"/>
        <v>1.007333E-9</v>
      </c>
      <c r="M29" s="6">
        <f t="shared" si="0"/>
        <v>6.2463550545055552E-10</v>
      </c>
      <c r="N29" s="6">
        <f t="shared" si="1"/>
        <v>1.3900304945494445E-9</v>
      </c>
      <c r="O29" s="6">
        <f t="shared" si="3"/>
        <v>3.8269749454944448E-10</v>
      </c>
    </row>
    <row r="30" spans="1:17" x14ac:dyDescent="0.25">
      <c r="A30" s="9">
        <v>29</v>
      </c>
      <c r="B30" s="6">
        <f>'Plan1 (2)'!$G39</f>
        <v>6.5300000000000002E-10</v>
      </c>
      <c r="C30" s="6">
        <f>'Plan2 (2)'!$G39</f>
        <v>1.4107000000000001E-9</v>
      </c>
      <c r="D30" s="6">
        <f>'Plan3 (2)'!$G39</f>
        <v>5.7668000000000002E-10</v>
      </c>
      <c r="E30" s="6">
        <f>'Plan4 (2)'!$G39</f>
        <v>6.6504999999999999E-10</v>
      </c>
      <c r="F30" s="6">
        <f>'Plan5 (2)'!$G39</f>
        <v>2.3374999999999998E-9</v>
      </c>
      <c r="G30" s="6">
        <f>'Plan6 (2)'!$G39</f>
        <v>8.5180999999999998E-10</v>
      </c>
      <c r="H30" s="6">
        <f>'Plan7 (2)'!$G39</f>
        <v>9.4579999999999998E-10</v>
      </c>
      <c r="I30" s="6">
        <f>'Plan8 (2)'!$G39</f>
        <v>8.0267999999999996E-10</v>
      </c>
      <c r="J30" s="6">
        <f>'Plan9 (2)'!$G39</f>
        <v>7.1559999999999999E-10</v>
      </c>
      <c r="K30" s="6">
        <f>'Plan10 (2)'!$G39</f>
        <v>8.4874000000000001E-10</v>
      </c>
      <c r="L30" s="7">
        <f t="shared" si="2"/>
        <v>9.80756E-10</v>
      </c>
      <c r="M30" s="6">
        <f t="shared" si="0"/>
        <v>6.0122908105342861E-10</v>
      </c>
      <c r="N30" s="6">
        <f t="shared" si="1"/>
        <v>1.3602829189465714E-9</v>
      </c>
      <c r="O30" s="6">
        <f t="shared" si="3"/>
        <v>3.7952691894657134E-10</v>
      </c>
    </row>
    <row r="31" spans="1:17" x14ac:dyDescent="0.25">
      <c r="A31" s="10">
        <v>30</v>
      </c>
      <c r="B31" s="6">
        <f>'Plan1 (2)'!$G40</f>
        <v>6.263E-10</v>
      </c>
      <c r="C31" s="6">
        <f>'Plan2 (2)'!$G40</f>
        <v>1.4045000000000001E-9</v>
      </c>
      <c r="D31" s="6">
        <f>'Plan3 (2)'!$G40</f>
        <v>5.6539000000000005E-10</v>
      </c>
      <c r="E31" s="6">
        <f>'Plan4 (2)'!$G40</f>
        <v>6.5312000000000002E-10</v>
      </c>
      <c r="F31" s="6">
        <f>'Plan5 (2)'!$G40</f>
        <v>2.2876999999999999E-9</v>
      </c>
      <c r="G31" s="6">
        <f>'Plan6 (2)'!$G40</f>
        <v>8.0652000000000002E-10</v>
      </c>
      <c r="H31" s="6">
        <f>'Plan7 (2)'!$G40</f>
        <v>9.1607000000000002E-10</v>
      </c>
      <c r="I31" s="6">
        <f>'Plan8 (2)'!$G40</f>
        <v>8.0310000000000005E-10</v>
      </c>
      <c r="J31" s="6">
        <f>'Plan9 (2)'!$G40</f>
        <v>6.9532000000000003E-10</v>
      </c>
      <c r="K31" s="6">
        <f>'Plan10 (2)'!$G40</f>
        <v>8.0213E-10</v>
      </c>
      <c r="L31" s="7">
        <f t="shared" si="2"/>
        <v>9.5601499999999983E-10</v>
      </c>
      <c r="M31" s="6">
        <f t="shared" si="0"/>
        <v>5.815204542845313E-10</v>
      </c>
      <c r="N31" s="6">
        <f t="shared" si="1"/>
        <v>1.3305095457154683E-9</v>
      </c>
      <c r="O31" s="6">
        <f t="shared" si="3"/>
        <v>3.7449454571546852E-10</v>
      </c>
    </row>
    <row r="32" spans="1:17" x14ac:dyDescent="0.25">
      <c r="A32" s="9">
        <v>31</v>
      </c>
      <c r="B32" s="6">
        <f>'Plan1 (2)'!$G41</f>
        <v>6.3305999999999998E-10</v>
      </c>
      <c r="C32" s="6">
        <f>'Plan2 (2)'!$G41</f>
        <v>1.397E-9</v>
      </c>
      <c r="D32" s="6">
        <f>'Plan3 (2)'!$G41</f>
        <v>5.5931999999999999E-10</v>
      </c>
      <c r="E32" s="6">
        <f>'Plan4 (2)'!$G41</f>
        <v>6.6199999999999999E-10</v>
      </c>
      <c r="F32" s="6">
        <f>'Plan5 (2)'!$G41</f>
        <v>2.2400000000000001E-9</v>
      </c>
      <c r="G32" s="6">
        <f>'Plan6 (2)'!$G41</f>
        <v>7.9702E-10</v>
      </c>
      <c r="H32" s="6">
        <f>'Plan7 (2)'!$G41</f>
        <v>8.8750999999999997E-10</v>
      </c>
      <c r="I32" s="6">
        <f>'Plan8 (2)'!$G41</f>
        <v>7.5774000000000001E-10</v>
      </c>
      <c r="J32" s="6">
        <f>'Plan9 (2)'!$G41</f>
        <v>6.8238999999999996E-10</v>
      </c>
      <c r="K32" s="6">
        <f>'Plan10 (2)'!$G41</f>
        <v>7.7910000000000003E-10</v>
      </c>
      <c r="L32" s="7">
        <f t="shared" si="2"/>
        <v>9.3951400000000003E-10</v>
      </c>
      <c r="M32" s="6">
        <f t="shared" si="0"/>
        <v>5.7289182353253293E-10</v>
      </c>
      <c r="N32" s="6">
        <f t="shared" si="1"/>
        <v>1.306136176467467E-9</v>
      </c>
      <c r="O32" s="6">
        <f t="shared" si="3"/>
        <v>3.666221764674671E-10</v>
      </c>
    </row>
    <row r="33" spans="1:15" x14ac:dyDescent="0.25">
      <c r="A33" s="9">
        <v>32</v>
      </c>
      <c r="B33" s="6">
        <f>'Plan1 (2)'!$G42</f>
        <v>5.9579999999999995E-10</v>
      </c>
      <c r="C33" s="6">
        <f>'Plan2 (2)'!$G42</f>
        <v>1.3738E-9</v>
      </c>
      <c r="D33" s="6">
        <f>'Plan3 (2)'!$G42</f>
        <v>5.3772999999999996E-10</v>
      </c>
      <c r="E33" s="6">
        <f>'Plan4 (2)'!$G42</f>
        <v>6.4672000000000002E-10</v>
      </c>
      <c r="F33" s="6">
        <f>'Plan5 (2)'!$G42</f>
        <v>2.1913000000000001E-9</v>
      </c>
      <c r="G33" s="6">
        <f>'Plan6 (2)'!$G42</f>
        <v>7.8110000000000002E-10</v>
      </c>
      <c r="H33" s="6">
        <f>'Plan7 (2)'!$G42</f>
        <v>8.6319999999999998E-10</v>
      </c>
      <c r="I33" s="6">
        <f>'Plan8 (2)'!$G42</f>
        <v>7.7078E-10</v>
      </c>
      <c r="J33" s="6">
        <f>'Plan9 (2)'!$G42</f>
        <v>6.7451999999999996E-10</v>
      </c>
      <c r="K33" s="6">
        <f>'Plan10 (2)'!$G42</f>
        <v>7.7329000000000003E-10</v>
      </c>
      <c r="L33" s="7">
        <f t="shared" si="2"/>
        <v>9.2082399999999996E-10</v>
      </c>
      <c r="M33" s="6">
        <f t="shared" si="0"/>
        <v>5.6119400384197047E-10</v>
      </c>
      <c r="N33" s="6">
        <f t="shared" si="1"/>
        <v>1.2804539961580295E-9</v>
      </c>
      <c r="O33" s="6">
        <f t="shared" si="3"/>
        <v>3.5962999615802944E-10</v>
      </c>
    </row>
    <row r="34" spans="1:15" x14ac:dyDescent="0.25">
      <c r="A34" s="9">
        <v>33</v>
      </c>
      <c r="B34" s="6">
        <f>'Plan1 (2)'!$G43</f>
        <v>5.8885999999999997E-10</v>
      </c>
      <c r="C34" s="6">
        <f>'Plan2 (2)'!$G43</f>
        <v>1.3706E-9</v>
      </c>
      <c r="D34" s="6">
        <f>'Plan3 (2)'!$G43</f>
        <v>5.2403999999999998E-10</v>
      </c>
      <c r="E34" s="6">
        <f>'Plan4 (2)'!$G43</f>
        <v>6.4286999999999997E-10</v>
      </c>
      <c r="F34" s="6">
        <f>'Plan5 (2)'!$G43</f>
        <v>2.1453E-9</v>
      </c>
      <c r="G34" s="6">
        <f>'Plan6 (2)'!$G43</f>
        <v>7.3432E-10</v>
      </c>
      <c r="H34" s="6">
        <f>'Plan7 (2)'!$G43</f>
        <v>8.4198000000000002E-10</v>
      </c>
      <c r="I34" s="6">
        <f>'Plan8 (2)'!$G43</f>
        <v>7.6017999999999995E-10</v>
      </c>
      <c r="J34" s="6">
        <f>'Plan9 (2)'!$G43</f>
        <v>6.6052000000000001E-10</v>
      </c>
      <c r="K34" s="6">
        <f>'Plan10 (2)'!$G43</f>
        <v>7.6902999999999998E-10</v>
      </c>
      <c r="L34" s="7">
        <f t="shared" si="2"/>
        <v>9.0376999999999987E-10</v>
      </c>
      <c r="M34" s="6">
        <f t="shared" si="0"/>
        <v>5.4998891757236017E-10</v>
      </c>
      <c r="N34" s="6">
        <f t="shared" si="1"/>
        <v>1.2575510824276396E-9</v>
      </c>
      <c r="O34" s="6">
        <f t="shared" si="3"/>
        <v>3.5378108242763969E-10</v>
      </c>
    </row>
    <row r="35" spans="1:15" x14ac:dyDescent="0.25">
      <c r="A35" s="9">
        <v>34</v>
      </c>
      <c r="B35" s="6">
        <f>'Plan1 (2)'!$G44</f>
        <v>5.7819000000000005E-10</v>
      </c>
      <c r="C35" s="6">
        <f>'Plan2 (2)'!$G44</f>
        <v>1.3456E-9</v>
      </c>
      <c r="D35" s="6">
        <f>'Plan3 (2)'!$G44</f>
        <v>5.2912000000000003E-10</v>
      </c>
      <c r="E35" s="6">
        <f>'Plan4 (2)'!$G44</f>
        <v>6.2261999999999997E-10</v>
      </c>
      <c r="F35" s="6">
        <f>'Plan5 (2)'!$G44</f>
        <v>2.1038000000000001E-9</v>
      </c>
      <c r="G35" s="6">
        <f>'Plan6 (2)'!$G44</f>
        <v>7.0784999999999999E-10</v>
      </c>
      <c r="H35" s="6">
        <f>'Plan7 (2)'!$G44</f>
        <v>8.1162000000000004E-10</v>
      </c>
      <c r="I35" s="6">
        <f>'Plan8 (2)'!$G44</f>
        <v>7.4138999999999996E-10</v>
      </c>
      <c r="J35" s="6">
        <f>'Plan9 (2)'!$G44</f>
        <v>6.3529999999999997E-10</v>
      </c>
      <c r="K35" s="6">
        <f>'Plan10 (2)'!$G44</f>
        <v>7.7734000000000003E-10</v>
      </c>
      <c r="L35" s="7">
        <f t="shared" si="2"/>
        <v>8.8528299999999999E-10</v>
      </c>
      <c r="M35" s="6">
        <f t="shared" si="0"/>
        <v>5.3820729402415755E-10</v>
      </c>
      <c r="N35" s="6">
        <f t="shared" si="1"/>
        <v>1.2323587059758423E-9</v>
      </c>
      <c r="O35" s="6">
        <f t="shared" si="3"/>
        <v>3.4707570597584244E-10</v>
      </c>
    </row>
    <row r="36" spans="1:15" x14ac:dyDescent="0.25">
      <c r="A36" s="9">
        <v>35</v>
      </c>
      <c r="B36" s="6">
        <f>'Plan1 (2)'!$G45</f>
        <v>5.6912E-10</v>
      </c>
      <c r="C36" s="6">
        <f>'Plan2 (2)'!$G45</f>
        <v>1.3500999999999999E-9</v>
      </c>
      <c r="D36" s="6">
        <f>'Plan3 (2)'!$G45</f>
        <v>5.1182999999999998E-10</v>
      </c>
      <c r="E36" s="6">
        <f>'Plan4 (2)'!$G45</f>
        <v>6.1150000000000001E-10</v>
      </c>
      <c r="F36" s="6">
        <f>'Plan5 (2)'!$G45</f>
        <v>2.0669E-9</v>
      </c>
      <c r="G36" s="6">
        <f>'Plan6 (2)'!$G45</f>
        <v>6.8542E-10</v>
      </c>
      <c r="H36" s="6">
        <f>'Plan7 (2)'!$G45</f>
        <v>8.0289999999999999E-10</v>
      </c>
      <c r="I36" s="6">
        <f>'Plan8 (2)'!$G45</f>
        <v>7.2479000000000004E-10</v>
      </c>
      <c r="J36" s="6">
        <f>'Plan9 (2)'!$G45</f>
        <v>6.2563000000000004E-10</v>
      </c>
      <c r="K36" s="6">
        <f>'Plan10 (2)'!$G45</f>
        <v>7.6397E-10</v>
      </c>
      <c r="L36" s="7">
        <f t="shared" si="2"/>
        <v>8.7121599999999998E-10</v>
      </c>
      <c r="M36" s="6">
        <f t="shared" si="0"/>
        <v>5.2737267569636038E-10</v>
      </c>
      <c r="N36" s="6">
        <f t="shared" si="1"/>
        <v>1.2150593243036396E-9</v>
      </c>
      <c r="O36" s="6">
        <f t="shared" si="3"/>
        <v>3.438433243036396E-10</v>
      </c>
    </row>
    <row r="37" spans="1:15" x14ac:dyDescent="0.25">
      <c r="A37" s="9">
        <v>36</v>
      </c>
      <c r="B37" s="6">
        <f>'Plan1 (2)'!$G46</f>
        <v>5.6583E-10</v>
      </c>
      <c r="C37" s="6">
        <f>'Plan2 (2)'!$G46</f>
        <v>1.3318999999999999E-9</v>
      </c>
      <c r="D37" s="6">
        <f>'Plan3 (2)'!$G46</f>
        <v>5.0101999999999999E-10</v>
      </c>
      <c r="E37" s="6">
        <f>'Plan4 (2)'!$G46</f>
        <v>6.0855000000000003E-10</v>
      </c>
      <c r="F37" s="6">
        <f>'Plan5 (2)'!$G46</f>
        <v>2.0298000000000002E-9</v>
      </c>
      <c r="G37" s="6">
        <f>'Plan6 (2)'!$G46</f>
        <v>6.5545000000000005E-10</v>
      </c>
      <c r="H37" s="6">
        <f>'Plan7 (2)'!$G46</f>
        <v>7.7631999999999996E-10</v>
      </c>
      <c r="I37" s="6">
        <f>'Plan8 (2)'!$G46</f>
        <v>7.1417000000000003E-10</v>
      </c>
      <c r="J37" s="6">
        <f>'Plan9 (2)'!$G46</f>
        <v>5.9677E-10</v>
      </c>
      <c r="K37" s="6">
        <f>'Plan10 (2)'!$G46</f>
        <v>7.5881999999999997E-10</v>
      </c>
      <c r="L37" s="7">
        <f t="shared" si="2"/>
        <v>8.5386299999999991E-10</v>
      </c>
      <c r="M37" s="6">
        <f t="shared" si="0"/>
        <v>5.1504152565642508E-10</v>
      </c>
      <c r="N37" s="6">
        <f t="shared" si="1"/>
        <v>1.1926844743435747E-9</v>
      </c>
      <c r="O37" s="6">
        <f t="shared" si="3"/>
        <v>3.3882147434357483E-10</v>
      </c>
    </row>
    <row r="38" spans="1:15" x14ac:dyDescent="0.25">
      <c r="A38" s="9">
        <v>37</v>
      </c>
      <c r="B38" s="6">
        <f>'Plan1 (2)'!$G47</f>
        <v>5.5409E-10</v>
      </c>
      <c r="C38" s="6">
        <f>'Plan2 (2)'!$G47</f>
        <v>1.3385000000000001E-9</v>
      </c>
      <c r="D38" s="6">
        <f>'Plan3 (2)'!$G47</f>
        <v>5.0436999999999999E-10</v>
      </c>
      <c r="E38" s="6">
        <f>'Plan4 (2)'!$G47</f>
        <v>5.9325999999999998E-10</v>
      </c>
      <c r="F38" s="6">
        <f>'Plan5 (2)'!$G47</f>
        <v>1.9917000000000001E-9</v>
      </c>
      <c r="G38" s="6">
        <f>'Plan6 (2)'!$G47</f>
        <v>6.4879999999999997E-10</v>
      </c>
      <c r="H38" s="6">
        <f>'Plan7 (2)'!$G47</f>
        <v>7.7554999999999997E-10</v>
      </c>
      <c r="I38" s="6">
        <f>'Plan8 (2)'!$G47</f>
        <v>7.2956000000000001E-10</v>
      </c>
      <c r="J38" s="6">
        <f>'Plan9 (2)'!$G47</f>
        <v>5.8655999999999999E-10</v>
      </c>
      <c r="K38" s="6">
        <f>'Plan10 (2)'!$G47</f>
        <v>7.2537000000000005E-10</v>
      </c>
      <c r="L38" s="7">
        <f t="shared" si="2"/>
        <v>8.4477600000000002E-10</v>
      </c>
      <c r="M38" s="6">
        <f t="shared" si="0"/>
        <v>5.1092235631985122E-10</v>
      </c>
      <c r="N38" s="6">
        <f t="shared" si="1"/>
        <v>1.1786296436801488E-9</v>
      </c>
      <c r="O38" s="6">
        <f t="shared" si="3"/>
        <v>3.3385364368014885E-10</v>
      </c>
    </row>
    <row r="39" spans="1:15" x14ac:dyDescent="0.25">
      <c r="A39" s="9">
        <v>38</v>
      </c>
      <c r="B39" s="6">
        <f>'Plan1 (2)'!$G48</f>
        <v>5.5048000000000005E-10</v>
      </c>
      <c r="C39" s="6">
        <f>'Plan2 (2)'!$G48</f>
        <v>1.3432999999999999E-9</v>
      </c>
      <c r="D39" s="6">
        <f>'Plan3 (2)'!$G48</f>
        <v>5.0209999999999995E-10</v>
      </c>
      <c r="E39" s="6">
        <f>'Plan4 (2)'!$G48</f>
        <v>5.9884999999999995E-10</v>
      </c>
      <c r="F39" s="6">
        <f>'Plan5 (2)'!$G48</f>
        <v>1.9638000000000002E-9</v>
      </c>
      <c r="G39" s="6">
        <f>'Plan6 (2)'!$G48</f>
        <v>6.5032999999999997E-10</v>
      </c>
      <c r="H39" s="6">
        <f>'Plan7 (2)'!$G48</f>
        <v>7.8494999999999996E-10</v>
      </c>
      <c r="I39" s="6">
        <f>'Plan8 (2)'!$G48</f>
        <v>6.9394999999999997E-10</v>
      </c>
      <c r="J39" s="6">
        <f>'Plan9 (2)'!$G48</f>
        <v>5.8232000000000001E-10</v>
      </c>
      <c r="K39" s="6">
        <f>'Plan10 (2)'!$G48</f>
        <v>6.6963999999999997E-10</v>
      </c>
      <c r="L39" s="7">
        <f t="shared" si="2"/>
        <v>8.3397200000000009E-10</v>
      </c>
      <c r="M39" s="6">
        <f t="shared" si="0"/>
        <v>5.0289380736327259E-10</v>
      </c>
      <c r="N39" s="6">
        <f t="shared" si="1"/>
        <v>1.1650501926367276E-9</v>
      </c>
      <c r="O39" s="6">
        <f t="shared" si="3"/>
        <v>3.3107819263672745E-10</v>
      </c>
    </row>
    <row r="40" spans="1:15" x14ac:dyDescent="0.25">
      <c r="A40" s="9">
        <v>39</v>
      </c>
      <c r="B40" s="6">
        <f>'Plan1 (2)'!$G49</f>
        <v>5.3802999999999995E-10</v>
      </c>
      <c r="C40" s="6">
        <f>'Plan2 (2)'!$G49</f>
        <v>1.3418000000000001E-9</v>
      </c>
      <c r="D40" s="6">
        <f>'Plan3 (2)'!$G49</f>
        <v>5.0065000000000002E-10</v>
      </c>
      <c r="E40" s="6">
        <f>'Plan4 (2)'!$G49</f>
        <v>5.9055999999999997E-10</v>
      </c>
      <c r="F40" s="6">
        <f>'Plan5 (2)'!$G49</f>
        <v>1.9346999999999999E-9</v>
      </c>
      <c r="G40" s="6">
        <f>'Plan6 (2)'!$G49</f>
        <v>6.5496999999999996E-10</v>
      </c>
      <c r="H40" s="6">
        <f>'Plan7 (2)'!$G49</f>
        <v>7.8059999999999997E-10</v>
      </c>
      <c r="I40" s="6">
        <f>'Plan8 (2)'!$G49</f>
        <v>7.0613000000000002E-10</v>
      </c>
      <c r="J40" s="6">
        <f>'Plan9 (2)'!$G49</f>
        <v>5.6202999999999997E-10</v>
      </c>
      <c r="K40" s="6">
        <f>'Plan10 (2)'!$G49</f>
        <v>6.5375000000000004E-10</v>
      </c>
      <c r="L40" s="7">
        <f t="shared" si="2"/>
        <v>8.2632200000000001E-10</v>
      </c>
      <c r="M40" s="6">
        <f t="shared" si="0"/>
        <v>4.9898099802715581E-10</v>
      </c>
      <c r="N40" s="6">
        <f t="shared" si="1"/>
        <v>1.1536630019728442E-9</v>
      </c>
      <c r="O40" s="6">
        <f t="shared" si="3"/>
        <v>3.2734100197284415E-10</v>
      </c>
    </row>
    <row r="41" spans="1:15" x14ac:dyDescent="0.25">
      <c r="A41" s="10">
        <v>40</v>
      </c>
      <c r="B41" s="6">
        <f>'Plan1 (2)'!$G50</f>
        <v>5.2207000000000004E-10</v>
      </c>
      <c r="C41" s="6">
        <f>'Plan2 (2)'!$G50</f>
        <v>1.3493000000000001E-9</v>
      </c>
      <c r="D41" s="6">
        <f>'Plan3 (2)'!$G50</f>
        <v>5.1139000000000003E-10</v>
      </c>
      <c r="E41" s="6">
        <f>'Plan4 (2)'!$G50</f>
        <v>5.9155999999999997E-10</v>
      </c>
      <c r="F41" s="6">
        <f>'Plan5 (2)'!$G50</f>
        <v>1.9084000000000002E-9</v>
      </c>
      <c r="G41" s="6">
        <f>'Plan6 (2)'!$G50</f>
        <v>6.3780999999999999E-10</v>
      </c>
      <c r="H41" s="6">
        <f>'Plan7 (2)'!$G50</f>
        <v>7.6809999999999996E-10</v>
      </c>
      <c r="I41" s="6">
        <f>'Plan8 (2)'!$G50</f>
        <v>7.0414999999999999E-10</v>
      </c>
      <c r="J41" s="6">
        <f>'Plan9 (2)'!$G50</f>
        <v>5.5361000000000001E-10</v>
      </c>
      <c r="K41" s="6">
        <f>'Plan10 (2)'!$G50</f>
        <v>6.3170999999999998E-10</v>
      </c>
      <c r="L41" s="7">
        <f t="shared" si="2"/>
        <v>8.1781000000000009E-10</v>
      </c>
      <c r="M41" s="6">
        <f t="shared" si="0"/>
        <v>4.9289853640232789E-10</v>
      </c>
      <c r="N41" s="6">
        <f t="shared" si="1"/>
        <v>1.1427214635976722E-9</v>
      </c>
      <c r="O41" s="6">
        <f t="shared" si="3"/>
        <v>3.2491146359767221E-10</v>
      </c>
    </row>
    <row r="42" spans="1:15" x14ac:dyDescent="0.25">
      <c r="A42" s="9">
        <v>41</v>
      </c>
      <c r="B42" s="6">
        <f>'Plan1 (2)'!$G51</f>
        <v>5.3101999999999999E-10</v>
      </c>
      <c r="C42" s="6">
        <f>'Plan2 (2)'!$G51</f>
        <v>1.3440999999999999E-9</v>
      </c>
      <c r="D42" s="6">
        <f>'Plan3 (2)'!$G51</f>
        <v>5.0575000000000004E-10</v>
      </c>
      <c r="E42" s="6">
        <f>'Plan4 (2)'!$G51</f>
        <v>5.9279999999999996E-10</v>
      </c>
      <c r="F42" s="6">
        <f>'Plan5 (2)'!$G51</f>
        <v>1.8870000000000002E-9</v>
      </c>
      <c r="G42" s="6">
        <f>'Plan6 (2)'!$G51</f>
        <v>6.1491999999999998E-10</v>
      </c>
      <c r="H42" s="6">
        <f>'Plan7 (2)'!$G51</f>
        <v>7.6045999999999998E-10</v>
      </c>
      <c r="I42" s="6">
        <f>'Plan8 (2)'!$G51</f>
        <v>6.8293000000000004E-10</v>
      </c>
      <c r="J42" s="6">
        <f>'Plan9 (2)'!$G51</f>
        <v>5.2835000000000004E-10</v>
      </c>
      <c r="K42" s="6">
        <f>'Plan10 (2)'!$G51</f>
        <v>6.1925000000000001E-10</v>
      </c>
      <c r="L42" s="7">
        <f t="shared" si="2"/>
        <v>8.0665800000000007E-10</v>
      </c>
      <c r="M42" s="6">
        <f t="shared" si="0"/>
        <v>4.836432776874879E-10</v>
      </c>
      <c r="N42" s="6">
        <f t="shared" si="1"/>
        <v>1.1296727223125122E-9</v>
      </c>
      <c r="O42" s="6">
        <f t="shared" si="3"/>
        <v>3.2301472231251222E-10</v>
      </c>
    </row>
    <row r="43" spans="1:15" x14ac:dyDescent="0.25">
      <c r="A43" s="9">
        <v>42</v>
      </c>
      <c r="B43" s="6">
        <f>'Plan1 (2)'!$G52</f>
        <v>5.2455000000000001E-10</v>
      </c>
      <c r="C43" s="6">
        <f>'Plan2 (2)'!$G52</f>
        <v>1.3492000000000001E-9</v>
      </c>
      <c r="D43" s="6">
        <f>'Plan3 (2)'!$G52</f>
        <v>4.9238999999999999E-10</v>
      </c>
      <c r="E43" s="6">
        <f>'Plan4 (2)'!$G52</f>
        <v>5.9387000000000004E-10</v>
      </c>
      <c r="F43" s="6">
        <f>'Plan5 (2)'!$G52</f>
        <v>1.8692000000000001E-9</v>
      </c>
      <c r="G43" s="6">
        <f>'Plan6 (2)'!$G52</f>
        <v>5.9728000000000003E-10</v>
      </c>
      <c r="H43" s="6">
        <f>'Plan7 (2)'!$G52</f>
        <v>7.4845000000000004E-10</v>
      </c>
      <c r="I43" s="6">
        <f>'Plan8 (2)'!$G52</f>
        <v>6.8554999999999997E-10</v>
      </c>
      <c r="J43" s="6">
        <f>'Plan9 (2)'!$G52</f>
        <v>5.1949000000000003E-10</v>
      </c>
      <c r="K43" s="6">
        <f>'Plan10 (2)'!$G52</f>
        <v>5.9745000000000004E-10</v>
      </c>
      <c r="L43" s="7">
        <f t="shared" si="2"/>
        <v>7.9774300000000011E-10</v>
      </c>
      <c r="M43" s="6">
        <f t="shared" si="0"/>
        <v>4.7479120083972992E-10</v>
      </c>
      <c r="N43" s="6">
        <f t="shared" si="1"/>
        <v>1.1206947991602703E-9</v>
      </c>
      <c r="O43" s="6">
        <f t="shared" si="3"/>
        <v>3.2295179916027019E-10</v>
      </c>
    </row>
    <row r="44" spans="1:15" x14ac:dyDescent="0.25">
      <c r="A44" s="9">
        <v>43</v>
      </c>
      <c r="B44" s="6">
        <f>'Plan1 (2)'!$G53</f>
        <v>5.1392000000000002E-10</v>
      </c>
      <c r="C44" s="6">
        <f>'Plan2 (2)'!$G53</f>
        <v>1.3374E-9</v>
      </c>
      <c r="D44" s="6">
        <f>'Plan3 (2)'!$G53</f>
        <v>4.8223999999999998E-10</v>
      </c>
      <c r="E44" s="6">
        <f>'Plan4 (2)'!$G53</f>
        <v>5.9510000000000004E-10</v>
      </c>
      <c r="F44" s="6">
        <f>'Plan5 (2)'!$G53</f>
        <v>1.8576999999999999E-9</v>
      </c>
      <c r="G44" s="6">
        <f>'Plan6 (2)'!$G53</f>
        <v>5.6622000000000004E-10</v>
      </c>
      <c r="H44" s="6">
        <f>'Plan7 (2)'!$G53</f>
        <v>7.0697999999999997E-10</v>
      </c>
      <c r="I44" s="6">
        <f>'Plan8 (2)'!$G53</f>
        <v>6.7539999999999996E-10</v>
      </c>
      <c r="J44" s="6">
        <f>'Plan9 (2)'!$G53</f>
        <v>5.1093000000000001E-10</v>
      </c>
      <c r="K44" s="6">
        <f>'Plan10 (2)'!$G53</f>
        <v>6.1373999999999999E-10</v>
      </c>
      <c r="L44" s="7">
        <f t="shared" si="2"/>
        <v>7.8596299999999986E-10</v>
      </c>
      <c r="M44" s="6">
        <f t="shared" si="0"/>
        <v>4.6361640007720582E-10</v>
      </c>
      <c r="N44" s="6">
        <f t="shared" si="1"/>
        <v>1.108309599922794E-9</v>
      </c>
      <c r="O44" s="6">
        <f t="shared" si="3"/>
        <v>3.2234659992279404E-10</v>
      </c>
    </row>
    <row r="45" spans="1:15" x14ac:dyDescent="0.25">
      <c r="A45" s="9">
        <v>44</v>
      </c>
      <c r="B45" s="6">
        <f>'Plan1 (2)'!$G54</f>
        <v>5.2359000000000005E-10</v>
      </c>
      <c r="C45" s="6">
        <f>'Plan2 (2)'!$G54</f>
        <v>1.3348E-9</v>
      </c>
      <c r="D45" s="6">
        <f>'Plan3 (2)'!$G54</f>
        <v>4.6531000000000002E-10</v>
      </c>
      <c r="E45" s="6">
        <f>'Plan4 (2)'!$G54</f>
        <v>5.8635000000000005E-10</v>
      </c>
      <c r="F45" s="6">
        <f>'Plan5 (2)'!$G54</f>
        <v>1.8466E-9</v>
      </c>
      <c r="G45" s="6">
        <f>'Plan6 (2)'!$G54</f>
        <v>5.5778000000000001E-10</v>
      </c>
      <c r="H45" s="6">
        <f>'Plan7 (2)'!$G54</f>
        <v>6.8297999999999995E-10</v>
      </c>
      <c r="I45" s="6">
        <f>'Plan8 (2)'!$G54</f>
        <v>6.8170000000000003E-10</v>
      </c>
      <c r="J45" s="6">
        <f>'Plan9 (2)'!$G54</f>
        <v>5.0229000000000003E-10</v>
      </c>
      <c r="K45" s="6">
        <f>'Plan10 (2)'!$G54</f>
        <v>6.0790000000000004E-10</v>
      </c>
      <c r="L45" s="7">
        <f t="shared" si="2"/>
        <v>7.7893000000000012E-10</v>
      </c>
      <c r="M45" s="6">
        <f t="shared" si="0"/>
        <v>4.5698388160582622E-10</v>
      </c>
      <c r="N45" s="6">
        <f t="shared" si="1"/>
        <v>1.1008761183941741E-9</v>
      </c>
      <c r="O45" s="6">
        <f t="shared" si="3"/>
        <v>3.219461183941739E-10</v>
      </c>
    </row>
    <row r="46" spans="1:15" x14ac:dyDescent="0.25">
      <c r="A46" s="9">
        <v>45</v>
      </c>
      <c r="B46" s="6">
        <f>'Plan1 (2)'!$G55</f>
        <v>5.1711999999999997E-10</v>
      </c>
      <c r="C46" s="6">
        <f>'Plan2 (2)'!$G55</f>
        <v>1.3227E-9</v>
      </c>
      <c r="D46" s="6">
        <f>'Plan3 (2)'!$G55</f>
        <v>4.6908E-10</v>
      </c>
      <c r="E46" s="6">
        <f>'Plan4 (2)'!$G55</f>
        <v>5.8817000000000005E-10</v>
      </c>
      <c r="F46" s="6">
        <f>'Plan5 (2)'!$G55</f>
        <v>1.8425E-9</v>
      </c>
      <c r="G46" s="6">
        <f>'Plan6 (2)'!$G55</f>
        <v>5.4610999999999999E-10</v>
      </c>
      <c r="H46" s="6">
        <f>'Plan7 (2)'!$G55</f>
        <v>6.8516000000000004E-10</v>
      </c>
      <c r="I46" s="6">
        <f>'Plan8 (2)'!$G55</f>
        <v>6.6301999999999995E-10</v>
      </c>
      <c r="J46" s="6">
        <f>'Plan9 (2)'!$G55</f>
        <v>5.1381999999999999E-10</v>
      </c>
      <c r="K46" s="6">
        <f>'Plan10 (2)'!$G55</f>
        <v>5.9078999999999998E-10</v>
      </c>
      <c r="L46" s="7">
        <f t="shared" si="2"/>
        <v>7.7384699999999984E-10</v>
      </c>
      <c r="M46" s="6">
        <f t="shared" si="0"/>
        <v>4.5307214558713467E-10</v>
      </c>
      <c r="N46" s="6">
        <f t="shared" si="1"/>
        <v>1.0946218544128649E-9</v>
      </c>
      <c r="O46" s="6">
        <f t="shared" si="3"/>
        <v>3.2077485441286517E-10</v>
      </c>
    </row>
    <row r="47" spans="1:15" x14ac:dyDescent="0.25">
      <c r="A47" s="9">
        <v>46</v>
      </c>
      <c r="B47" s="6">
        <f>'Plan1 (2)'!$G56</f>
        <v>5.0816000000000003E-10</v>
      </c>
      <c r="C47" s="6">
        <f>'Plan2 (2)'!$G56</f>
        <v>1.3217000000000001E-9</v>
      </c>
      <c r="D47" s="6">
        <f>'Plan3 (2)'!$G56</f>
        <v>4.5536000000000002E-10</v>
      </c>
      <c r="E47" s="6">
        <f>'Plan4 (2)'!$G56</f>
        <v>5.7960000000000005E-10</v>
      </c>
      <c r="F47" s="6">
        <f>'Plan5 (2)'!$G56</f>
        <v>1.8355999999999999E-9</v>
      </c>
      <c r="G47" s="6">
        <f>'Plan6 (2)'!$G56</f>
        <v>5.3745000000000004E-10</v>
      </c>
      <c r="H47" s="6">
        <f>'Plan7 (2)'!$G56</f>
        <v>6.7334999999999995E-10</v>
      </c>
      <c r="I47" s="6">
        <f>'Plan8 (2)'!$G56</f>
        <v>6.4855E-10</v>
      </c>
      <c r="J47" s="6">
        <f>'Plan9 (2)'!$G56</f>
        <v>4.9568999999999997E-10</v>
      </c>
      <c r="K47" s="6">
        <f>'Plan10 (2)'!$G56</f>
        <v>5.9242000000000001E-10</v>
      </c>
      <c r="L47" s="7">
        <f t="shared" si="2"/>
        <v>7.6478799999999999E-10</v>
      </c>
      <c r="M47" s="6">
        <f t="shared" si="0"/>
        <v>4.4235968392783269E-10</v>
      </c>
      <c r="N47" s="6">
        <f t="shared" si="1"/>
        <v>1.0872163160721672E-9</v>
      </c>
      <c r="O47" s="6">
        <f t="shared" si="3"/>
        <v>3.224283160721673E-10</v>
      </c>
    </row>
    <row r="48" spans="1:15" x14ac:dyDescent="0.25">
      <c r="A48" s="9">
        <v>47</v>
      </c>
      <c r="B48" s="6">
        <f>'Plan1 (2)'!$G57</f>
        <v>5.1029E-10</v>
      </c>
      <c r="C48" s="6">
        <f>'Plan2 (2)'!$G57</f>
        <v>1.3134E-9</v>
      </c>
      <c r="D48" s="6">
        <f>'Plan3 (2)'!$G57</f>
        <v>4.5073999999999999E-10</v>
      </c>
      <c r="E48" s="6">
        <f>'Plan4 (2)'!$G57</f>
        <v>5.7559999999999996E-10</v>
      </c>
      <c r="F48" s="6">
        <f>'Plan5 (2)'!$G57</f>
        <v>1.8320999999999999E-9</v>
      </c>
      <c r="G48" s="6">
        <f>'Plan6 (2)'!$G57</f>
        <v>5.4450000000000003E-10</v>
      </c>
      <c r="H48" s="6">
        <f>'Plan7 (2)'!$G57</f>
        <v>6.5434000000000004E-10</v>
      </c>
      <c r="I48" s="6">
        <f>'Plan8 (2)'!$G57</f>
        <v>6.5094000000000003E-10</v>
      </c>
      <c r="J48" s="6">
        <f>'Plan9 (2)'!$G57</f>
        <v>4.9473999999999999E-10</v>
      </c>
      <c r="K48" s="6">
        <f>'Plan10 (2)'!$G57</f>
        <v>5.5643000000000001E-10</v>
      </c>
      <c r="L48" s="7">
        <f t="shared" si="2"/>
        <v>7.5830800000000013E-10</v>
      </c>
      <c r="M48" s="6">
        <f t="shared" si="0"/>
        <v>4.3583059430951687E-10</v>
      </c>
      <c r="N48" s="6">
        <f t="shared" si="1"/>
        <v>1.0807854056904833E-9</v>
      </c>
      <c r="O48" s="6">
        <f t="shared" si="3"/>
        <v>3.2247740569048325E-10</v>
      </c>
    </row>
    <row r="49" spans="1:15" x14ac:dyDescent="0.25">
      <c r="A49" s="9">
        <v>48</v>
      </c>
      <c r="B49" s="6">
        <f>'Plan1 (2)'!$G58</f>
        <v>5.1487999999999998E-10</v>
      </c>
      <c r="C49" s="6">
        <f>'Plan2 (2)'!$G58</f>
        <v>1.3126E-9</v>
      </c>
      <c r="D49" s="6">
        <f>'Plan3 (2)'!$G58</f>
        <v>4.4774999999999998E-10</v>
      </c>
      <c r="E49" s="6">
        <f>'Plan4 (2)'!$G58</f>
        <v>5.8140999999999996E-10</v>
      </c>
      <c r="F49" s="6">
        <f>'Plan5 (2)'!$G58</f>
        <v>1.8346000000000001E-9</v>
      </c>
      <c r="G49" s="6">
        <f>'Plan6 (2)'!$G58</f>
        <v>5.5614999999999999E-10</v>
      </c>
      <c r="H49" s="6">
        <f>'Plan7 (2)'!$G58</f>
        <v>6.5066999999999999E-10</v>
      </c>
      <c r="I49" s="6">
        <f>'Plan8 (2)'!$G58</f>
        <v>6.2261999999999997E-10</v>
      </c>
      <c r="J49" s="6">
        <f>'Plan9 (2)'!$G58</f>
        <v>4.9820999999999998E-10</v>
      </c>
      <c r="K49" s="6">
        <f>'Plan10 (2)'!$G58</f>
        <v>5.6818E-10</v>
      </c>
      <c r="L49" s="7">
        <f t="shared" si="2"/>
        <v>7.5870699999999993E-10</v>
      </c>
      <c r="M49" s="6">
        <f t="shared" si="0"/>
        <v>4.3637244550634972E-10</v>
      </c>
      <c r="N49" s="6">
        <f t="shared" si="1"/>
        <v>1.0810415544936501E-9</v>
      </c>
      <c r="O49" s="6">
        <f t="shared" si="3"/>
        <v>3.2233455449365021E-10</v>
      </c>
    </row>
    <row r="50" spans="1:15" x14ac:dyDescent="0.25">
      <c r="A50" s="9">
        <v>49</v>
      </c>
      <c r="B50" s="6">
        <f>'Plan1 (2)'!$G59</f>
        <v>4.9607000000000003E-10</v>
      </c>
      <c r="C50" s="6">
        <f>'Plan2 (2)'!$G59</f>
        <v>1.3068999999999999E-9</v>
      </c>
      <c r="D50" s="6">
        <f>'Plan3 (2)'!$G59</f>
        <v>4.4465000000000001E-10</v>
      </c>
      <c r="E50" s="6">
        <f>'Plan4 (2)'!$G59</f>
        <v>5.8507000000000003E-10</v>
      </c>
      <c r="F50" s="6">
        <f>'Plan5 (2)'!$G59</f>
        <v>1.8327000000000001E-9</v>
      </c>
      <c r="G50" s="6">
        <f>'Plan6 (2)'!$G59</f>
        <v>5.5744999999999997E-10</v>
      </c>
      <c r="H50" s="6">
        <f>'Plan7 (2)'!$G59</f>
        <v>6.4315E-10</v>
      </c>
      <c r="I50" s="6">
        <f>'Plan8 (2)'!$G59</f>
        <v>6.2171000000000002E-10</v>
      </c>
      <c r="J50" s="6">
        <f>'Plan9 (2)'!$G59</f>
        <v>4.8475999999999999E-10</v>
      </c>
      <c r="K50" s="6">
        <f>'Plan10 (2)'!$G59</f>
        <v>5.6592000000000005E-10</v>
      </c>
      <c r="L50" s="7">
        <f t="shared" si="2"/>
        <v>7.5383799999999994E-10</v>
      </c>
      <c r="M50" s="6">
        <f t="shared" si="0"/>
        <v>4.3070750117364602E-10</v>
      </c>
      <c r="N50" s="6">
        <f t="shared" si="1"/>
        <v>1.0769684988263537E-9</v>
      </c>
      <c r="O50" s="6">
        <f t="shared" si="3"/>
        <v>3.2313049882635391E-10</v>
      </c>
    </row>
    <row r="51" spans="1:15" x14ac:dyDescent="0.25">
      <c r="A51" s="10">
        <v>50</v>
      </c>
      <c r="B51" s="6">
        <f>'Plan1 (2)'!$G60</f>
        <v>4.9763999999999995E-10</v>
      </c>
      <c r="C51" s="6">
        <f>'Plan2 (2)'!$G60</f>
        <v>1.2923E-9</v>
      </c>
      <c r="D51" s="6">
        <f>'Plan3 (2)'!$G60</f>
        <v>4.5672999999999998E-10</v>
      </c>
      <c r="E51" s="6">
        <f>'Plan4 (2)'!$G60</f>
        <v>5.8164999999999995E-10</v>
      </c>
      <c r="F51" s="6">
        <f>'Plan5 (2)'!$G60</f>
        <v>1.8328999999999999E-9</v>
      </c>
      <c r="G51" s="6">
        <f>'Plan6 (2)'!$G60</f>
        <v>5.6165000000000002E-10</v>
      </c>
      <c r="H51" s="6">
        <f>'Plan7 (2)'!$G60</f>
        <v>6.2091999999999996E-10</v>
      </c>
      <c r="I51" s="6">
        <f>'Plan8 (2)'!$G60</f>
        <v>6.2445000000000005E-10</v>
      </c>
      <c r="J51" s="6">
        <f>'Plan9 (2)'!$G60</f>
        <v>4.7969000000000003E-10</v>
      </c>
      <c r="K51" s="6">
        <f>'Plan10 (2)'!$G60</f>
        <v>5.626E-10</v>
      </c>
      <c r="L51" s="7">
        <f t="shared" si="2"/>
        <v>7.5105299999999993E-10</v>
      </c>
      <c r="M51" s="6">
        <f t="shared" si="0"/>
        <v>4.2928623552781826E-10</v>
      </c>
      <c r="N51" s="6">
        <f t="shared" si="1"/>
        <v>1.0728197644721815E-9</v>
      </c>
      <c r="O51" s="6">
        <f t="shared" si="3"/>
        <v>3.2176676447218166E-10</v>
      </c>
    </row>
    <row r="52" spans="1:15" x14ac:dyDescent="0.25">
      <c r="A52" s="9">
        <v>51</v>
      </c>
      <c r="B52" s="6">
        <f>'Plan1 (2)'!$G61</f>
        <v>5.0741999999999999E-10</v>
      </c>
      <c r="C52" s="6">
        <f>'Plan2 (2)'!$G61</f>
        <v>1.2873999999999999E-9</v>
      </c>
      <c r="D52" s="6">
        <f>'Plan3 (2)'!$G61</f>
        <v>4.4213999999999998E-10</v>
      </c>
      <c r="E52" s="6">
        <f>'Plan4 (2)'!$G61</f>
        <v>5.8244000000000001E-10</v>
      </c>
      <c r="F52" s="6">
        <f>'Plan5 (2)'!$G61</f>
        <v>1.8354999999999999E-9</v>
      </c>
      <c r="G52" s="6">
        <f>'Plan6 (2)'!$G61</f>
        <v>5.6391999999999995E-10</v>
      </c>
      <c r="H52" s="6">
        <f>'Plan7 (2)'!$G61</f>
        <v>6.0415000000000003E-10</v>
      </c>
      <c r="I52" s="6">
        <f>'Plan8 (2)'!$G61</f>
        <v>6.1479999999999999E-10</v>
      </c>
      <c r="J52" s="6">
        <f>'Plan9 (2)'!$G61</f>
        <v>4.8229E-10</v>
      </c>
      <c r="K52" s="6">
        <f>'Plan10 (2)'!$G61</f>
        <v>5.5968999999999996E-10</v>
      </c>
      <c r="L52" s="7">
        <f t="shared" si="2"/>
        <v>7.4797499999999999E-10</v>
      </c>
      <c r="M52" s="6">
        <f t="shared" si="0"/>
        <v>4.2532949432618332E-10</v>
      </c>
      <c r="N52" s="6">
        <f t="shared" si="1"/>
        <v>1.0706205056738166E-9</v>
      </c>
      <c r="O52" s="6">
        <f t="shared" si="3"/>
        <v>3.2264550567381668E-10</v>
      </c>
    </row>
    <row r="53" spans="1:15" x14ac:dyDescent="0.25">
      <c r="A53" s="9">
        <v>52</v>
      </c>
      <c r="B53" s="6">
        <f>'Plan1 (2)'!$G62</f>
        <v>4.8009000000000005E-10</v>
      </c>
      <c r="C53" s="6">
        <f>'Plan2 (2)'!$G62</f>
        <v>1.2779999999999999E-9</v>
      </c>
      <c r="D53" s="6">
        <f>'Plan3 (2)'!$G62</f>
        <v>4.4846000000000002E-10</v>
      </c>
      <c r="E53" s="6">
        <f>'Plan4 (2)'!$G62</f>
        <v>5.8627999999999996E-10</v>
      </c>
      <c r="F53" s="6">
        <f>'Plan5 (2)'!$G62</f>
        <v>1.8388000000000001E-9</v>
      </c>
      <c r="G53" s="6">
        <f>'Plan6 (2)'!$G62</f>
        <v>5.5297999999999999E-10</v>
      </c>
      <c r="H53" s="6">
        <f>'Plan7 (2)'!$G62</f>
        <v>5.9922000000000003E-10</v>
      </c>
      <c r="I53" s="6">
        <f>'Plan8 (2)'!$G62</f>
        <v>6.0345000000000002E-10</v>
      </c>
      <c r="J53" s="6">
        <f>'Plan9 (2)'!$G62</f>
        <v>4.8522999999999999E-10</v>
      </c>
      <c r="K53" s="6">
        <f>'Plan10 (2)'!$G62</f>
        <v>5.5107000000000004E-10</v>
      </c>
      <c r="L53" s="7">
        <f t="shared" si="2"/>
        <v>7.423580000000001E-10</v>
      </c>
      <c r="M53" s="6">
        <f t="shared" si="0"/>
        <v>4.182933254214635E-10</v>
      </c>
      <c r="N53" s="6">
        <f t="shared" si="1"/>
        <v>1.0664226745785367E-9</v>
      </c>
      <c r="O53" s="6">
        <f t="shared" si="3"/>
        <v>3.240646745785366E-10</v>
      </c>
    </row>
    <row r="54" spans="1:15" x14ac:dyDescent="0.25">
      <c r="A54" s="9">
        <v>53</v>
      </c>
      <c r="B54" s="6">
        <f>'Plan1 (2)'!$G63</f>
        <v>4.7858000000000002E-10</v>
      </c>
      <c r="C54" s="6">
        <f>'Plan2 (2)'!$G63</f>
        <v>1.2714E-9</v>
      </c>
      <c r="D54" s="6">
        <f>'Plan3 (2)'!$G63</f>
        <v>4.5278999999999999E-10</v>
      </c>
      <c r="E54" s="6">
        <f>'Plan4 (2)'!$G63</f>
        <v>5.7880999999999999E-10</v>
      </c>
      <c r="F54" s="6">
        <f>'Plan5 (2)'!$G63</f>
        <v>1.8375999999999999E-9</v>
      </c>
      <c r="G54" s="6">
        <f>'Plan6 (2)'!$G63</f>
        <v>5.4903000000000002E-10</v>
      </c>
      <c r="H54" s="6">
        <f>'Plan7 (2)'!$G63</f>
        <v>5.8689000000000003E-10</v>
      </c>
      <c r="I54" s="6">
        <f>'Plan8 (2)'!$G63</f>
        <v>5.9424999999999999E-10</v>
      </c>
      <c r="J54" s="6">
        <f>'Plan9 (2)'!$G63</f>
        <v>4.8105000000000001E-10</v>
      </c>
      <c r="K54" s="6">
        <f>'Plan10 (2)'!$G63</f>
        <v>5.4960000000000005E-10</v>
      </c>
      <c r="L54" s="7">
        <f t="shared" si="2"/>
        <v>7.3799999999999993E-10</v>
      </c>
      <c r="M54" s="6">
        <f t="shared" si="0"/>
        <v>4.1381477983691393E-10</v>
      </c>
      <c r="N54" s="6">
        <f t="shared" si="1"/>
        <v>1.0621852201630859E-9</v>
      </c>
      <c r="O54" s="6">
        <f t="shared" si="3"/>
        <v>3.24185220163086E-10</v>
      </c>
    </row>
    <row r="55" spans="1:15" x14ac:dyDescent="0.25">
      <c r="A55" s="9">
        <v>54</v>
      </c>
      <c r="B55" s="6">
        <f>'Plan1 (2)'!$G64</f>
        <v>4.8087000000000002E-10</v>
      </c>
      <c r="C55" s="6">
        <f>'Plan2 (2)'!$G64</f>
        <v>1.2596000000000001E-9</v>
      </c>
      <c r="D55" s="6">
        <f>'Plan3 (2)'!$G64</f>
        <v>4.4436999999999999E-10</v>
      </c>
      <c r="E55" s="6">
        <f>'Plan4 (2)'!$G64</f>
        <v>5.8342000000000004E-10</v>
      </c>
      <c r="F55" s="6">
        <f>'Plan5 (2)'!$G64</f>
        <v>1.839E-9</v>
      </c>
      <c r="G55" s="6">
        <f>'Plan6 (2)'!$G64</f>
        <v>5.4764999999999996E-10</v>
      </c>
      <c r="H55" s="6">
        <f>'Plan7 (2)'!$G64</f>
        <v>5.7217999999999998E-10</v>
      </c>
      <c r="I55" s="6">
        <f>'Plan8 (2)'!$G64</f>
        <v>5.9589E-10</v>
      </c>
      <c r="J55" s="6">
        <f>'Plan9 (2)'!$G64</f>
        <v>4.8003000000000005E-10</v>
      </c>
      <c r="K55" s="6">
        <f>'Plan10 (2)'!$G64</f>
        <v>5.1023999999999999E-10</v>
      </c>
      <c r="L55" s="7">
        <f t="shared" si="2"/>
        <v>7.3132499999999995E-10</v>
      </c>
      <c r="M55" s="6">
        <f t="shared" si="0"/>
        <v>4.0590974721032767E-10</v>
      </c>
      <c r="N55" s="6">
        <f t="shared" si="1"/>
        <v>1.0567402527896723E-9</v>
      </c>
      <c r="O55" s="6">
        <f t="shared" si="3"/>
        <v>3.2541525278967229E-10</v>
      </c>
    </row>
    <row r="56" spans="1:15" x14ac:dyDescent="0.25">
      <c r="A56" s="9">
        <v>55</v>
      </c>
      <c r="B56" s="6">
        <f>'Plan1 (2)'!$G65</f>
        <v>4.672E-10</v>
      </c>
      <c r="C56" s="6">
        <f>'Plan2 (2)'!$G65</f>
        <v>1.2575000000000001E-9</v>
      </c>
      <c r="D56" s="6">
        <f>'Plan3 (2)'!$G65</f>
        <v>4.4903999999999998E-10</v>
      </c>
      <c r="E56" s="6">
        <f>'Plan4 (2)'!$G65</f>
        <v>5.8668999999999997E-10</v>
      </c>
      <c r="F56" s="6">
        <f>'Plan5 (2)'!$G65</f>
        <v>1.8414000000000001E-9</v>
      </c>
      <c r="G56" s="6">
        <f>'Plan6 (2)'!$G65</f>
        <v>5.3627000000000005E-10</v>
      </c>
      <c r="H56" s="6">
        <f>'Plan7 (2)'!$G65</f>
        <v>5.7297000000000004E-10</v>
      </c>
      <c r="I56" s="6">
        <f>'Plan8 (2)'!$G65</f>
        <v>5.7921000000000001E-10</v>
      </c>
      <c r="J56" s="6">
        <f>'Plan9 (2)'!$G65</f>
        <v>4.8553999999999996E-10</v>
      </c>
      <c r="K56" s="6">
        <f>'Plan10 (2)'!$G65</f>
        <v>5.1075000000000002E-10</v>
      </c>
      <c r="L56" s="7">
        <f t="shared" si="2"/>
        <v>7.2865699999999992E-10</v>
      </c>
      <c r="M56" s="6">
        <f t="shared" si="0"/>
        <v>4.0216477627743695E-10</v>
      </c>
      <c r="N56" s="6">
        <f t="shared" si="1"/>
        <v>1.0551492237225628E-9</v>
      </c>
      <c r="O56" s="6">
        <f t="shared" si="3"/>
        <v>3.2649222372256297E-10</v>
      </c>
    </row>
    <row r="57" spans="1:15" x14ac:dyDescent="0.25">
      <c r="A57" s="9">
        <v>56</v>
      </c>
      <c r="B57" s="6">
        <f>'Plan1 (2)'!$G66</f>
        <v>4.6754000000000002E-10</v>
      </c>
      <c r="C57" s="6">
        <f>'Plan2 (2)'!$G66</f>
        <v>1.2462000000000001E-9</v>
      </c>
      <c r="D57" s="6">
        <f>'Plan3 (2)'!$G66</f>
        <v>4.4541000000000002E-10</v>
      </c>
      <c r="E57" s="6">
        <f>'Plan4 (2)'!$G66</f>
        <v>5.8196000000000003E-10</v>
      </c>
      <c r="F57" s="6">
        <f>'Plan5 (2)'!$G66</f>
        <v>1.8395999999999999E-9</v>
      </c>
      <c r="G57" s="6">
        <f>'Plan6 (2)'!$G66</f>
        <v>5.0423000000000003E-10</v>
      </c>
      <c r="H57" s="6">
        <f>'Plan7 (2)'!$G66</f>
        <v>5.6137E-10</v>
      </c>
      <c r="I57" s="6">
        <f>'Plan8 (2)'!$G66</f>
        <v>5.7699999999999997E-10</v>
      </c>
      <c r="J57" s="6">
        <f>'Plan9 (2)'!$G66</f>
        <v>4.8247999999999997E-10</v>
      </c>
      <c r="K57" s="6">
        <f>'Plan10 (2)'!$G66</f>
        <v>5.0082000000000003E-10</v>
      </c>
      <c r="L57" s="7">
        <f t="shared" si="2"/>
        <v>7.2066099999999998E-10</v>
      </c>
      <c r="M57" s="6">
        <f t="shared" si="0"/>
        <v>3.9325966907996834E-10</v>
      </c>
      <c r="N57" s="6">
        <f t="shared" si="1"/>
        <v>1.0480623309200317E-9</v>
      </c>
      <c r="O57" s="6">
        <f t="shared" si="3"/>
        <v>3.2740133092003164E-10</v>
      </c>
    </row>
    <row r="58" spans="1:15" x14ac:dyDescent="0.25">
      <c r="A58" s="9">
        <v>57</v>
      </c>
      <c r="B58" s="6">
        <f>'Plan1 (2)'!$G67</f>
        <v>4.6571000000000004E-10</v>
      </c>
      <c r="C58" s="6">
        <f>'Plan2 (2)'!$G67</f>
        <v>1.2320999999999999E-9</v>
      </c>
      <c r="D58" s="6">
        <f>'Plan3 (2)'!$G67</f>
        <v>4.5047E-10</v>
      </c>
      <c r="E58" s="6">
        <f>'Plan4 (2)'!$G67</f>
        <v>5.8214000000000002E-10</v>
      </c>
      <c r="F58" s="6">
        <f>'Plan5 (2)'!$G67</f>
        <v>1.8425E-9</v>
      </c>
      <c r="G58" s="6">
        <f>'Plan6 (2)'!$G67</f>
        <v>4.9035999999999995E-10</v>
      </c>
      <c r="H58" s="6">
        <f>'Plan7 (2)'!$G67</f>
        <v>5.4811999999999996E-10</v>
      </c>
      <c r="I58" s="6">
        <f>'Plan8 (2)'!$G67</f>
        <v>5.7561000000000004E-10</v>
      </c>
      <c r="J58" s="6">
        <f>'Plan9 (2)'!$G67</f>
        <v>4.8018999999999997E-10</v>
      </c>
      <c r="K58" s="6">
        <f>'Plan10 (2)'!$G67</f>
        <v>4.9756999999999997E-10</v>
      </c>
      <c r="L58" s="7">
        <f t="shared" si="2"/>
        <v>7.1647700000000007E-10</v>
      </c>
      <c r="M58" s="6">
        <f t="shared" si="0"/>
        <v>3.8878475999167487E-10</v>
      </c>
      <c r="N58" s="6">
        <f t="shared" si="1"/>
        <v>1.0441692400083252E-9</v>
      </c>
      <c r="O58" s="6">
        <f t="shared" si="3"/>
        <v>3.2769224000832519E-10</v>
      </c>
    </row>
    <row r="59" spans="1:15" x14ac:dyDescent="0.25">
      <c r="A59" s="9">
        <v>58</v>
      </c>
      <c r="B59" s="6">
        <f>'Plan1 (2)'!$G68</f>
        <v>4.6713000000000002E-10</v>
      </c>
      <c r="C59" s="6">
        <f>'Plan2 (2)'!$G68</f>
        <v>1.2206999999999999E-9</v>
      </c>
      <c r="D59" s="6">
        <f>'Plan3 (2)'!$G68</f>
        <v>4.5276999999999998E-10</v>
      </c>
      <c r="E59" s="6">
        <f>'Plan4 (2)'!$G68</f>
        <v>5.8771000000000003E-10</v>
      </c>
      <c r="F59" s="6">
        <f>'Plan5 (2)'!$G68</f>
        <v>1.8438E-9</v>
      </c>
      <c r="G59" s="6">
        <f>'Plan6 (2)'!$G68</f>
        <v>4.8967000000000003E-10</v>
      </c>
      <c r="H59" s="6">
        <f>'Plan7 (2)'!$G68</f>
        <v>5.4662000000000002E-10</v>
      </c>
      <c r="I59" s="6">
        <f>'Plan8 (2)'!$G68</f>
        <v>5.7193000000000001E-10</v>
      </c>
      <c r="J59" s="6">
        <f>'Plan9 (2)'!$G68</f>
        <v>4.8691000000000003E-10</v>
      </c>
      <c r="K59" s="6">
        <f>'Plan10 (2)'!$G68</f>
        <v>5.0406000000000002E-10</v>
      </c>
      <c r="L59" s="7">
        <f t="shared" si="2"/>
        <v>7.1713000000000009E-10</v>
      </c>
      <c r="M59" s="6">
        <f t="shared" si="0"/>
        <v>3.9084232159779811E-10</v>
      </c>
      <c r="N59" s="6">
        <f t="shared" si="1"/>
        <v>1.0434176784022021E-9</v>
      </c>
      <c r="O59" s="6">
        <f t="shared" si="3"/>
        <v>3.2628767840220198E-10</v>
      </c>
    </row>
    <row r="60" spans="1:15" x14ac:dyDescent="0.25">
      <c r="A60" s="9">
        <v>59</v>
      </c>
      <c r="B60" s="6">
        <f>'Plan1 (2)'!$G69</f>
        <v>4.5777000000000001E-10</v>
      </c>
      <c r="C60" s="6">
        <f>'Plan2 (2)'!$G69</f>
        <v>1.2067E-9</v>
      </c>
      <c r="D60" s="6">
        <f>'Plan3 (2)'!$G69</f>
        <v>4.5078000000000002E-10</v>
      </c>
      <c r="E60" s="6">
        <f>'Plan4 (2)'!$G69</f>
        <v>5.8541000000000005E-10</v>
      </c>
      <c r="F60" s="6">
        <f>'Plan5 (2)'!$G69</f>
        <v>1.8425E-9</v>
      </c>
      <c r="G60" s="6">
        <f>'Plan6 (2)'!$G69</f>
        <v>4.8354999999999995E-10</v>
      </c>
      <c r="H60" s="6">
        <f>'Plan7 (2)'!$G69</f>
        <v>5.4792000000000001E-10</v>
      </c>
      <c r="I60" s="6">
        <f>'Plan8 (2)'!$G69</f>
        <v>5.6613999999999997E-10</v>
      </c>
      <c r="J60" s="6">
        <f>'Plan9 (2)'!$G69</f>
        <v>4.7829000000000001E-10</v>
      </c>
      <c r="K60" s="6">
        <f>'Plan10 (2)'!$G69</f>
        <v>5.0651000000000004E-10</v>
      </c>
      <c r="L60" s="7">
        <f t="shared" si="2"/>
        <v>7.1255700000000004E-10</v>
      </c>
      <c r="M60" s="6">
        <f t="shared" si="0"/>
        <v>3.8657584104232781E-10</v>
      </c>
      <c r="N60" s="6">
        <f t="shared" si="1"/>
        <v>1.0385381589576723E-9</v>
      </c>
      <c r="O60" s="6">
        <f t="shared" si="3"/>
        <v>3.2598115895767224E-10</v>
      </c>
    </row>
    <row r="61" spans="1:15" x14ac:dyDescent="0.25">
      <c r="A61" s="10">
        <v>60</v>
      </c>
      <c r="B61" s="6">
        <f>'Plan1 (2)'!$G70</f>
        <v>4.5619E-10</v>
      </c>
      <c r="C61" s="6">
        <f>'Plan2 (2)'!$G70</f>
        <v>1.192E-9</v>
      </c>
      <c r="D61" s="6">
        <f>'Plan3 (2)'!$G70</f>
        <v>4.581E-10</v>
      </c>
      <c r="E61" s="6">
        <f>'Plan4 (2)'!$G70</f>
        <v>5.8328999999999996E-10</v>
      </c>
      <c r="F61" s="6">
        <f>'Plan5 (2)'!$G70</f>
        <v>1.8415999999999999E-9</v>
      </c>
      <c r="G61" s="6">
        <f>'Plan6 (2)'!$G70</f>
        <v>4.9855999999999998E-10</v>
      </c>
      <c r="H61" s="6">
        <f>'Plan7 (2)'!$G70</f>
        <v>5.3501E-10</v>
      </c>
      <c r="I61" s="6">
        <f>'Plan8 (2)'!$G70</f>
        <v>5.5254000000000004E-10</v>
      </c>
      <c r="J61" s="6">
        <f>'Plan9 (2)'!$G70</f>
        <v>4.7288000000000003E-10</v>
      </c>
      <c r="K61" s="6">
        <f>'Plan10 (2)'!$G70</f>
        <v>5.0952000000000001E-10</v>
      </c>
      <c r="L61" s="7">
        <f t="shared" si="2"/>
        <v>7.0996900000000007E-10</v>
      </c>
      <c r="M61" s="6">
        <f t="shared" si="0"/>
        <v>3.8534868076553093E-10</v>
      </c>
      <c r="N61" s="6">
        <f t="shared" si="1"/>
        <v>1.0345893192344693E-9</v>
      </c>
      <c r="O61" s="6">
        <f t="shared" si="3"/>
        <v>3.2462031923446915E-10</v>
      </c>
    </row>
    <row r="62" spans="1:15" x14ac:dyDescent="0.25">
      <c r="A62" s="9">
        <v>61</v>
      </c>
      <c r="B62" s="6">
        <f>'Plan1 (2)'!$G71</f>
        <v>4.6850999999999997E-10</v>
      </c>
      <c r="C62" s="6">
        <f>'Plan2 (2)'!$G71</f>
        <v>1.1758E-9</v>
      </c>
      <c r="D62" s="6">
        <f>'Plan3 (2)'!$G71</f>
        <v>4.5173E-10</v>
      </c>
      <c r="E62" s="6">
        <f>'Plan4 (2)'!$G71</f>
        <v>5.8926999999999997E-10</v>
      </c>
      <c r="F62" s="6">
        <f>'Plan5 (2)'!$G71</f>
        <v>1.8435999999999999E-9</v>
      </c>
      <c r="G62" s="6">
        <f>'Plan6 (2)'!$G71</f>
        <v>5.1095999999999996E-10</v>
      </c>
      <c r="H62" s="6">
        <f>'Plan7 (2)'!$G71</f>
        <v>5.2466000000000003E-10</v>
      </c>
      <c r="I62" s="6">
        <f>'Plan8 (2)'!$G71</f>
        <v>5.5397999999999998E-10</v>
      </c>
      <c r="J62" s="6">
        <f>'Plan9 (2)'!$G71</f>
        <v>4.7377000000000001E-10</v>
      </c>
      <c r="K62" s="6">
        <f>'Plan10 (2)'!$G71</f>
        <v>4.8517999999999997E-10</v>
      </c>
      <c r="L62" s="7">
        <f t="shared" si="2"/>
        <v>7.0774599999999993E-10</v>
      </c>
      <c r="M62" s="6">
        <f t="shared" si="0"/>
        <v>3.8374704801709689E-10</v>
      </c>
      <c r="N62" s="6">
        <f t="shared" si="1"/>
        <v>1.031744951982903E-9</v>
      </c>
      <c r="O62" s="6">
        <f t="shared" si="3"/>
        <v>3.2399895198290304E-10</v>
      </c>
    </row>
    <row r="63" spans="1:15" x14ac:dyDescent="0.25">
      <c r="A63" s="9">
        <v>62</v>
      </c>
      <c r="B63" s="6">
        <f>'Plan1 (2)'!$G72</f>
        <v>4.5786000000000001E-10</v>
      </c>
      <c r="C63" s="6">
        <f>'Plan2 (2)'!$G72</f>
        <v>1.165E-9</v>
      </c>
      <c r="D63" s="6">
        <f>'Plan3 (2)'!$G72</f>
        <v>4.5328999999999999E-10</v>
      </c>
      <c r="E63" s="6">
        <f>'Plan4 (2)'!$G72</f>
        <v>5.8942000000000002E-10</v>
      </c>
      <c r="F63" s="6">
        <f>'Plan5 (2)'!$G72</f>
        <v>1.8432E-9</v>
      </c>
      <c r="G63" s="6">
        <f>'Plan6 (2)'!$G72</f>
        <v>5.1086000000000003E-10</v>
      </c>
      <c r="H63" s="6">
        <f>'Plan7 (2)'!$G72</f>
        <v>5.3015999999999996E-10</v>
      </c>
      <c r="I63" s="6">
        <f>'Plan8 (2)'!$G72</f>
        <v>5.4429999999999997E-10</v>
      </c>
      <c r="J63" s="6">
        <f>'Plan9 (2)'!$G72</f>
        <v>4.7516000000000004E-10</v>
      </c>
      <c r="K63" s="6">
        <f>'Plan10 (2)'!$G72</f>
        <v>4.8586000000000002E-10</v>
      </c>
      <c r="L63" s="7">
        <f t="shared" si="2"/>
        <v>7.0551100000000009E-10</v>
      </c>
      <c r="M63" s="6">
        <f t="shared" si="0"/>
        <v>3.820740225192401E-10</v>
      </c>
      <c r="N63" s="6">
        <f t="shared" si="1"/>
        <v>1.0289479774807602E-9</v>
      </c>
      <c r="O63" s="6">
        <f t="shared" si="3"/>
        <v>3.2343697748075999E-10</v>
      </c>
    </row>
    <row r="64" spans="1:15" x14ac:dyDescent="0.25">
      <c r="A64" s="9">
        <v>63</v>
      </c>
      <c r="B64" s="6">
        <f>'Plan1 (2)'!$G73</f>
        <v>4.5589000000000001E-10</v>
      </c>
      <c r="C64" s="6">
        <f>'Plan2 (2)'!$G73</f>
        <v>1.146E-9</v>
      </c>
      <c r="D64" s="6">
        <f>'Plan3 (2)'!$G73</f>
        <v>4.6092999999999998E-10</v>
      </c>
      <c r="E64" s="6">
        <f>'Plan4 (2)'!$G73</f>
        <v>5.8291000000000001E-10</v>
      </c>
      <c r="F64" s="6">
        <f>'Plan5 (2)'!$G73</f>
        <v>1.8401000000000001E-9</v>
      </c>
      <c r="G64" s="6">
        <f>'Plan6 (2)'!$G73</f>
        <v>5.1252999999999999E-10</v>
      </c>
      <c r="H64" s="6">
        <f>'Plan7 (2)'!$G73</f>
        <v>5.2592999999999996E-10</v>
      </c>
      <c r="I64" s="6">
        <f>'Plan8 (2)'!$G73</f>
        <v>5.3784999999999996E-10</v>
      </c>
      <c r="J64" s="6">
        <f>'Plan9 (2)'!$G73</f>
        <v>4.7823999999999999E-10</v>
      </c>
      <c r="K64" s="6">
        <f>'Plan10 (2)'!$G73</f>
        <v>4.7510000000000004E-10</v>
      </c>
      <c r="L64" s="7">
        <f t="shared" si="2"/>
        <v>7.015479999999999E-10</v>
      </c>
      <c r="M64" s="6">
        <f t="shared" si="0"/>
        <v>3.7979907107868691E-10</v>
      </c>
      <c r="N64" s="6">
        <f t="shared" si="1"/>
        <v>1.0232969289213128E-9</v>
      </c>
      <c r="O64" s="6">
        <f t="shared" si="3"/>
        <v>3.2174892892131299E-10</v>
      </c>
    </row>
    <row r="65" spans="1:15" x14ac:dyDescent="0.25">
      <c r="A65" s="9">
        <v>64</v>
      </c>
      <c r="B65" s="6">
        <f>'Plan1 (2)'!$G74</f>
        <v>4.6519000000000002E-10</v>
      </c>
      <c r="C65" s="6">
        <f>'Plan2 (2)'!$G74</f>
        <v>1.1396000000000001E-9</v>
      </c>
      <c r="D65" s="6">
        <f>'Plan3 (2)'!$G74</f>
        <v>4.5690999999999998E-10</v>
      </c>
      <c r="E65" s="6">
        <f>'Plan4 (2)'!$G74</f>
        <v>5.8455000000000001E-10</v>
      </c>
      <c r="F65" s="6">
        <f>'Plan5 (2)'!$G74</f>
        <v>1.8408000000000001E-9</v>
      </c>
      <c r="G65" s="6">
        <f>'Plan6 (2)'!$G74</f>
        <v>5.1550000000000003E-10</v>
      </c>
      <c r="H65" s="6">
        <f>'Plan7 (2)'!$G74</f>
        <v>5.1491000000000003E-10</v>
      </c>
      <c r="I65" s="6">
        <f>'Plan8 (2)'!$G74</f>
        <v>5.3477999999999999E-10</v>
      </c>
      <c r="J65" s="6">
        <f>'Plan9 (2)'!$G74</f>
        <v>4.7394000000000002E-10</v>
      </c>
      <c r="K65" s="6">
        <f>'Plan10 (2)'!$G74</f>
        <v>4.7511000000000003E-10</v>
      </c>
      <c r="L65" s="7">
        <f t="shared" si="2"/>
        <v>7.0012899999999993E-10</v>
      </c>
      <c r="M65" s="6">
        <f t="shared" si="0"/>
        <v>3.7848303632695347E-10</v>
      </c>
      <c r="N65" s="6">
        <f t="shared" si="1"/>
        <v>1.0217749636730463E-9</v>
      </c>
      <c r="O65" s="6">
        <f t="shared" si="3"/>
        <v>3.2164596367304646E-10</v>
      </c>
    </row>
    <row r="66" spans="1:15" x14ac:dyDescent="0.25">
      <c r="A66" s="9">
        <v>65</v>
      </c>
      <c r="B66" s="6">
        <f>'Plan1 (2)'!$G75</f>
        <v>4.5549E-10</v>
      </c>
      <c r="C66" s="6">
        <f>'Plan2 (2)'!$G75</f>
        <v>1.1288000000000001E-9</v>
      </c>
      <c r="D66" s="6">
        <f>'Plan3 (2)'!$G75</f>
        <v>4.6203000000000001E-10</v>
      </c>
      <c r="E66" s="6">
        <f>'Plan4 (2)'!$G75</f>
        <v>5.9301999999999998E-10</v>
      </c>
      <c r="F66" s="6">
        <f>'Plan5 (2)'!$G75</f>
        <v>1.8394000000000001E-9</v>
      </c>
      <c r="G66" s="6">
        <f>'Plan6 (2)'!$G75</f>
        <v>5.1088E-10</v>
      </c>
      <c r="H66" s="6">
        <f>'Plan7 (2)'!$G75</f>
        <v>5.0037999999999998E-10</v>
      </c>
      <c r="I66" s="6">
        <f>'Plan8 (2)'!$G75</f>
        <v>5.2636000000000003E-10</v>
      </c>
      <c r="J66" s="6">
        <f>'Plan9 (2)'!$G75</f>
        <v>4.8721000000000002E-10</v>
      </c>
      <c r="K66" s="6">
        <f>'Plan10 (2)'!$G75</f>
        <v>4.8213999999999995E-10</v>
      </c>
      <c r="L66" s="7">
        <f t="shared" si="2"/>
        <v>6.9857100000000001E-10</v>
      </c>
      <c r="M66" s="6">
        <f t="shared" ref="M66:M88" si="4">L66-O66</f>
        <v>3.7790372629815105E-10</v>
      </c>
      <c r="N66" s="6">
        <f t="shared" ref="N66:N88" si="5">L66+O66</f>
        <v>1.019238273701849E-9</v>
      </c>
      <c r="O66" s="6">
        <f t="shared" si="3"/>
        <v>3.2066727370184896E-10</v>
      </c>
    </row>
    <row r="67" spans="1:15" x14ac:dyDescent="0.25">
      <c r="A67" s="9">
        <v>66</v>
      </c>
      <c r="B67" s="6">
        <f>'Plan1 (2)'!$G76</f>
        <v>4.5411999999999998E-10</v>
      </c>
      <c r="C67" s="6">
        <f>'Plan2 (2)'!$G76</f>
        <v>1.1154000000000001E-9</v>
      </c>
      <c r="D67" s="6">
        <f>'Plan3 (2)'!$G76</f>
        <v>4.5979000000000002E-10</v>
      </c>
      <c r="E67" s="6">
        <f>'Plan4 (2)'!$G76</f>
        <v>5.8723000000000005E-10</v>
      </c>
      <c r="F67" s="6">
        <f>'Plan5 (2)'!$G76</f>
        <v>1.8387000000000001E-9</v>
      </c>
      <c r="G67" s="6">
        <f>'Plan6 (2)'!$G76</f>
        <v>4.9532999999999998E-10</v>
      </c>
      <c r="H67" s="6">
        <f>'Plan7 (2)'!$G76</f>
        <v>4.7700999999999999E-10</v>
      </c>
      <c r="I67" s="6">
        <f>'Plan8 (2)'!$G76</f>
        <v>5.1961000000000003E-10</v>
      </c>
      <c r="J67" s="6">
        <f>'Plan9 (2)'!$G76</f>
        <v>4.8209000000000004E-10</v>
      </c>
      <c r="K67" s="6">
        <f>'Plan10 (2)'!$G76</f>
        <v>4.7868000000000005E-10</v>
      </c>
      <c r="L67" s="7">
        <f t="shared" ref="L67:L88" si="6">AVERAGE(B67:K67)</f>
        <v>6.90796E-10</v>
      </c>
      <c r="M67" s="6">
        <f t="shared" si="4"/>
        <v>3.6911997205645412E-10</v>
      </c>
      <c r="N67" s="6">
        <f t="shared" si="5"/>
        <v>1.0124720279435459E-9</v>
      </c>
      <c r="O67" s="6">
        <f t="shared" ref="O67:O88" si="7">_xlfn.CONFIDENCE.T(0.05,_xlfn.STDEV.S(B67:K67),COUNTA(B67:K67))</f>
        <v>3.2167602794354588E-10</v>
      </c>
    </row>
    <row r="68" spans="1:15" x14ac:dyDescent="0.25">
      <c r="A68" s="9">
        <v>67</v>
      </c>
      <c r="B68" s="6">
        <f>'Plan1 (2)'!$G77</f>
        <v>4.5986999999999998E-10</v>
      </c>
      <c r="C68" s="6">
        <f>'Plan2 (2)'!$G77</f>
        <v>1.107E-9</v>
      </c>
      <c r="D68" s="6">
        <f>'Plan3 (2)'!$G77</f>
        <v>4.6223000000000002E-10</v>
      </c>
      <c r="E68" s="6">
        <f>'Plan4 (2)'!$G77</f>
        <v>5.8795000000000002E-10</v>
      </c>
      <c r="F68" s="6">
        <f>'Plan5 (2)'!$G77</f>
        <v>1.8385E-9</v>
      </c>
      <c r="G68" s="6">
        <f>'Plan6 (2)'!$G77</f>
        <v>4.9150000000000001E-10</v>
      </c>
      <c r="H68" s="6">
        <f>'Plan7 (2)'!$G77</f>
        <v>4.6750999999999997E-10</v>
      </c>
      <c r="I68" s="6">
        <f>'Plan8 (2)'!$G77</f>
        <v>5.0758000000000002E-10</v>
      </c>
      <c r="J68" s="6">
        <f>'Plan9 (2)'!$G77</f>
        <v>4.7428000000000004E-10</v>
      </c>
      <c r="K68" s="6">
        <f>'Plan10 (2)'!$G77</f>
        <v>4.8861000000000003E-10</v>
      </c>
      <c r="L68" s="7">
        <f t="shared" si="6"/>
        <v>6.8850299999999997E-10</v>
      </c>
      <c r="M68" s="6">
        <f t="shared" si="4"/>
        <v>3.6703903283566802E-10</v>
      </c>
      <c r="N68" s="6">
        <f t="shared" si="5"/>
        <v>1.0099669671643319E-9</v>
      </c>
      <c r="O68" s="6">
        <f t="shared" si="7"/>
        <v>3.2146396716433196E-10</v>
      </c>
    </row>
    <row r="69" spans="1:15" x14ac:dyDescent="0.25">
      <c r="A69" s="9">
        <v>68</v>
      </c>
      <c r="B69" s="6">
        <f>'Plan1 (2)'!$G78</f>
        <v>4.6294000000000001E-10</v>
      </c>
      <c r="C69" s="6">
        <f>'Plan2 (2)'!$G78</f>
        <v>1.0963E-9</v>
      </c>
      <c r="D69" s="6">
        <f>'Plan3 (2)'!$G78</f>
        <v>4.6283999999999998E-10</v>
      </c>
      <c r="E69" s="6">
        <f>'Plan4 (2)'!$G78</f>
        <v>5.9719999999999996E-10</v>
      </c>
      <c r="F69" s="6">
        <f>'Plan5 (2)'!$G78</f>
        <v>1.8398E-9</v>
      </c>
      <c r="G69" s="6">
        <f>'Plan6 (2)'!$G78</f>
        <v>4.8684000000000005E-10</v>
      </c>
      <c r="H69" s="6">
        <f>'Plan7 (2)'!$G78</f>
        <v>4.5889999999999999E-10</v>
      </c>
      <c r="I69" s="6">
        <f>'Plan8 (2)'!$G78</f>
        <v>5.1553999999999996E-10</v>
      </c>
      <c r="J69" s="6">
        <f>'Plan9 (2)'!$G78</f>
        <v>4.8622999999999998E-10</v>
      </c>
      <c r="K69" s="6">
        <f>'Plan10 (2)'!$G78</f>
        <v>4.8133000000000003E-10</v>
      </c>
      <c r="L69" s="7">
        <f t="shared" si="6"/>
        <v>6.8879199999999997E-10</v>
      </c>
      <c r="M69" s="6">
        <f t="shared" si="4"/>
        <v>3.6807075025314113E-10</v>
      </c>
      <c r="N69" s="6">
        <f t="shared" si="5"/>
        <v>1.0095132497468587E-9</v>
      </c>
      <c r="O69" s="6">
        <f t="shared" si="7"/>
        <v>3.2072124974685884E-10</v>
      </c>
    </row>
    <row r="70" spans="1:15" x14ac:dyDescent="0.25">
      <c r="A70" s="9">
        <v>69</v>
      </c>
      <c r="B70" s="6">
        <f>'Plan1 (2)'!$G79</f>
        <v>4.5763E-10</v>
      </c>
      <c r="C70" s="6">
        <f>'Plan2 (2)'!$G79</f>
        <v>1.0894E-9</v>
      </c>
      <c r="D70" s="6">
        <f>'Plan3 (2)'!$G79</f>
        <v>4.6323999999999999E-10</v>
      </c>
      <c r="E70" s="6">
        <f>'Plan4 (2)'!$G79</f>
        <v>5.9070000000000004E-10</v>
      </c>
      <c r="F70" s="6">
        <f>'Plan5 (2)'!$G79</f>
        <v>1.839E-9</v>
      </c>
      <c r="G70" s="6">
        <f>'Plan6 (2)'!$G79</f>
        <v>4.7793000000000002E-10</v>
      </c>
      <c r="H70" s="6">
        <f>'Plan7 (2)'!$G79</f>
        <v>4.5207000000000002E-10</v>
      </c>
      <c r="I70" s="6">
        <f>'Plan8 (2)'!$G79</f>
        <v>5.0548999999999998E-10</v>
      </c>
      <c r="J70" s="6">
        <f>'Plan9 (2)'!$G79</f>
        <v>4.8217E-10</v>
      </c>
      <c r="K70" s="6">
        <f>'Plan10 (2)'!$G79</f>
        <v>4.7888E-10</v>
      </c>
      <c r="L70" s="7">
        <f t="shared" si="6"/>
        <v>6.8365100000000002E-10</v>
      </c>
      <c r="M70" s="6">
        <f t="shared" si="4"/>
        <v>3.6213912487464174E-10</v>
      </c>
      <c r="N70" s="6">
        <f t="shared" si="5"/>
        <v>1.0051628751253584E-9</v>
      </c>
      <c r="O70" s="6">
        <f t="shared" si="7"/>
        <v>3.2151187512535828E-10</v>
      </c>
    </row>
    <row r="71" spans="1:15" x14ac:dyDescent="0.25">
      <c r="A71" s="10">
        <v>70</v>
      </c>
      <c r="B71" s="6">
        <f>'Plan1 (2)'!$G80</f>
        <v>4.5907E-10</v>
      </c>
      <c r="C71" s="6">
        <f>'Plan2 (2)'!$G80</f>
        <v>1.0767E-9</v>
      </c>
      <c r="D71" s="6">
        <f>'Plan3 (2)'!$G80</f>
        <v>4.6841000000000004E-10</v>
      </c>
      <c r="E71" s="6">
        <f>'Plan4 (2)'!$G80</f>
        <v>5.9226999999999996E-10</v>
      </c>
      <c r="F71" s="6">
        <f>'Plan5 (2)'!$G80</f>
        <v>1.8379E-9</v>
      </c>
      <c r="G71" s="6">
        <f>'Plan6 (2)'!$G80</f>
        <v>4.7883999999999997E-10</v>
      </c>
      <c r="H71" s="6">
        <f>'Plan7 (2)'!$G80</f>
        <v>4.4736999999999998E-10</v>
      </c>
      <c r="I71" s="6">
        <f>'Plan8 (2)'!$G80</f>
        <v>4.9361000000000001E-10</v>
      </c>
      <c r="J71" s="6">
        <f>'Plan9 (2)'!$G80</f>
        <v>4.8418999999999996E-10</v>
      </c>
      <c r="K71" s="6">
        <f>'Plan10 (2)'!$G80</f>
        <v>4.6596000000000001E-10</v>
      </c>
      <c r="L71" s="7">
        <f t="shared" si="6"/>
        <v>6.8043200000000001E-10</v>
      </c>
      <c r="M71" s="6">
        <f t="shared" si="4"/>
        <v>3.5937420717692398E-10</v>
      </c>
      <c r="N71" s="6">
        <f t="shared" si="5"/>
        <v>1.0014897928230761E-9</v>
      </c>
      <c r="O71" s="6">
        <f t="shared" si="7"/>
        <v>3.2105779282307603E-10</v>
      </c>
    </row>
    <row r="72" spans="1:15" x14ac:dyDescent="0.25">
      <c r="A72" s="9">
        <v>71</v>
      </c>
      <c r="B72" s="6">
        <f>'Plan1 (2)'!$G81</f>
        <v>4.6588000000000005E-10</v>
      </c>
      <c r="C72" s="6">
        <f>'Plan2 (2)'!$G81</f>
        <v>1.0718E-9</v>
      </c>
      <c r="D72" s="6">
        <f>'Plan3 (2)'!$G81</f>
        <v>4.6346000000000002E-10</v>
      </c>
      <c r="E72" s="6">
        <f>'Plan4 (2)'!$G81</f>
        <v>5.9743999999999996E-10</v>
      </c>
      <c r="F72" s="6">
        <f>'Plan5 (2)'!$G81</f>
        <v>1.8399E-9</v>
      </c>
      <c r="G72" s="6">
        <f>'Plan6 (2)'!$G81</f>
        <v>4.8314000000000005E-10</v>
      </c>
      <c r="H72" s="6">
        <f>'Plan7 (2)'!$G81</f>
        <v>4.5778999999999998E-10</v>
      </c>
      <c r="I72" s="6">
        <f>'Plan8 (2)'!$G81</f>
        <v>4.9872999999999999E-10</v>
      </c>
      <c r="J72" s="6">
        <f>'Plan9 (2)'!$G81</f>
        <v>4.8510999999999999E-10</v>
      </c>
      <c r="K72" s="6">
        <f>'Plan10 (2)'!$G81</f>
        <v>4.6447E-10</v>
      </c>
      <c r="L72" s="7">
        <f t="shared" si="6"/>
        <v>6.8277200000000003E-10</v>
      </c>
      <c r="M72" s="6">
        <f t="shared" si="4"/>
        <v>3.6251921666464838E-10</v>
      </c>
      <c r="N72" s="6">
        <f t="shared" si="5"/>
        <v>1.0030247833353518E-9</v>
      </c>
      <c r="O72" s="6">
        <f t="shared" si="7"/>
        <v>3.2025278333535165E-10</v>
      </c>
    </row>
    <row r="73" spans="1:15" x14ac:dyDescent="0.25">
      <c r="A73" s="9">
        <v>73</v>
      </c>
      <c r="B73" s="6">
        <f>'Plan1 (2)'!$G82</f>
        <v>4.5822E-10</v>
      </c>
      <c r="C73" s="6">
        <f>'Plan2 (2)'!$G82</f>
        <v>1.0492000000000001E-9</v>
      </c>
      <c r="D73" s="6">
        <f>'Plan3 (2)'!$G82</f>
        <v>4.6931000000000001E-10</v>
      </c>
      <c r="E73" s="6">
        <f>'Plan4 (2)'!$G82</f>
        <v>5.9602999999999996E-10</v>
      </c>
      <c r="F73" s="6">
        <f>'Plan5 (2)'!$G82</f>
        <v>1.8395999999999999E-9</v>
      </c>
      <c r="G73" s="6">
        <f>'Plan6 (2)'!$G82</f>
        <v>4.8723999999999996E-10</v>
      </c>
      <c r="H73" s="6">
        <f>'Plan7 (2)'!$G82</f>
        <v>4.5232999999999998E-10</v>
      </c>
      <c r="I73" s="6">
        <f>'Plan8 (2)'!$G82</f>
        <v>4.8616999999999999E-10</v>
      </c>
      <c r="J73" s="6">
        <f>'Plan9 (2)'!$G82</f>
        <v>4.8711999999999997E-10</v>
      </c>
      <c r="K73" s="6">
        <f>'Plan10 (2)'!$G82</f>
        <v>4.5264E-10</v>
      </c>
      <c r="L73" s="7">
        <f t="shared" si="6"/>
        <v>6.7778599999999996E-10</v>
      </c>
      <c r="M73" s="6">
        <f t="shared" si="4"/>
        <v>3.5813406160738675E-10</v>
      </c>
      <c r="N73" s="6">
        <f t="shared" si="5"/>
        <v>9.9743793839261327E-10</v>
      </c>
      <c r="O73" s="6">
        <f t="shared" si="7"/>
        <v>3.1965193839261321E-10</v>
      </c>
    </row>
    <row r="74" spans="1:15" x14ac:dyDescent="0.25">
      <c r="A74" s="9">
        <v>75</v>
      </c>
      <c r="B74" s="6">
        <f>'Plan1 (2)'!$G83</f>
        <v>4.6215999999999998E-10</v>
      </c>
      <c r="C74" s="6">
        <f>'Plan2 (2)'!$G83</f>
        <v>1.0293E-9</v>
      </c>
      <c r="D74" s="6">
        <f>'Plan3 (2)'!$G83</f>
        <v>4.7102999999999998E-10</v>
      </c>
      <c r="E74" s="6">
        <f>'Plan4 (2)'!$G83</f>
        <v>6.0585000000000003E-10</v>
      </c>
      <c r="F74" s="6">
        <f>'Plan5 (2)'!$G83</f>
        <v>1.8448999999999999E-9</v>
      </c>
      <c r="G74" s="6">
        <f>'Plan6 (2)'!$G83</f>
        <v>4.9578000000000002E-10</v>
      </c>
      <c r="H74" s="6">
        <f>'Plan7 (2)'!$G83</f>
        <v>4.4062000000000003E-10</v>
      </c>
      <c r="I74" s="6">
        <f>'Plan8 (2)'!$G83</f>
        <v>4.8077999999999997E-10</v>
      </c>
      <c r="J74" s="6">
        <f>'Plan9 (2)'!$G83</f>
        <v>4.9328999999999996E-10</v>
      </c>
      <c r="K74" s="6">
        <f>'Plan10 (2)'!$G83</f>
        <v>4.6076000000000002E-10</v>
      </c>
      <c r="L74" s="7">
        <f t="shared" si="6"/>
        <v>6.7844699999999994E-10</v>
      </c>
      <c r="M74" s="6">
        <f t="shared" si="4"/>
        <v>3.5946817523927563E-10</v>
      </c>
      <c r="N74" s="6">
        <f t="shared" si="5"/>
        <v>9.974258247607242E-10</v>
      </c>
      <c r="O74" s="6">
        <f t="shared" si="7"/>
        <v>3.1897882476072431E-10</v>
      </c>
    </row>
    <row r="75" spans="1:15" x14ac:dyDescent="0.25">
      <c r="A75" s="9">
        <v>77</v>
      </c>
      <c r="B75" s="6">
        <f>'Plan1 (2)'!$G84</f>
        <v>4.6544999999999998E-10</v>
      </c>
      <c r="C75" s="6">
        <f>'Plan2 (2)'!$G84</f>
        <v>1.0029999999999999E-9</v>
      </c>
      <c r="D75" s="6">
        <f>'Plan3 (2)'!$G84</f>
        <v>4.7324000000000001E-10</v>
      </c>
      <c r="E75" s="6">
        <f>'Plan4 (2)'!$G84</f>
        <v>6.0418999999999996E-10</v>
      </c>
      <c r="F75" s="6">
        <f>'Plan5 (2)'!$G84</f>
        <v>1.8489000000000001E-9</v>
      </c>
      <c r="G75" s="6">
        <f>'Plan6 (2)'!$G84</f>
        <v>4.9506000000000005E-10</v>
      </c>
      <c r="H75" s="6">
        <f>'Plan7 (2)'!$G84</f>
        <v>4.1794000000000001E-10</v>
      </c>
      <c r="I75" s="6">
        <f>'Plan8 (2)'!$G84</f>
        <v>4.5992E-10</v>
      </c>
      <c r="J75" s="6">
        <f>'Plan9 (2)'!$G84</f>
        <v>4.9309E-10</v>
      </c>
      <c r="K75" s="6">
        <f>'Plan10 (2)'!$G84</f>
        <v>4.6132000000000002E-10</v>
      </c>
      <c r="L75" s="7">
        <f t="shared" si="6"/>
        <v>6.7221100000000001E-10</v>
      </c>
      <c r="M75" s="6">
        <f t="shared" si="4"/>
        <v>3.5241385086597364E-10</v>
      </c>
      <c r="N75" s="6">
        <f t="shared" si="5"/>
        <v>9.9200814913402627E-10</v>
      </c>
      <c r="O75" s="6">
        <f t="shared" si="7"/>
        <v>3.1979714913402637E-10</v>
      </c>
    </row>
    <row r="76" spans="1:15" x14ac:dyDescent="0.25">
      <c r="A76" s="10">
        <v>79</v>
      </c>
      <c r="B76" s="6">
        <f>'Plan1 (2)'!$G85</f>
        <v>4.5422000000000001E-10</v>
      </c>
      <c r="C76" s="6">
        <f>'Plan2 (2)'!$G85</f>
        <v>9.808400000000001E-10</v>
      </c>
      <c r="D76" s="6">
        <f>'Plan3 (2)'!$G85</f>
        <v>4.7346000000000004E-10</v>
      </c>
      <c r="E76" s="6">
        <f>'Plan4 (2)'!$G85</f>
        <v>6.0640999999999998E-10</v>
      </c>
      <c r="F76" s="6">
        <f>'Plan5 (2)'!$G85</f>
        <v>1.8528000000000001E-9</v>
      </c>
      <c r="G76" s="6">
        <f>'Plan6 (2)'!$G85</f>
        <v>4.7394000000000002E-10</v>
      </c>
      <c r="H76" s="6">
        <f>'Plan7 (2)'!$G85</f>
        <v>4.0535E-10</v>
      </c>
      <c r="I76" s="6">
        <f>'Plan8 (2)'!$G85</f>
        <v>4.5944000000000002E-10</v>
      </c>
      <c r="J76" s="6">
        <f>'Plan9 (2)'!$G85</f>
        <v>4.8962999999999999E-10</v>
      </c>
      <c r="K76" s="6">
        <f>'Plan10 (2)'!$G85</f>
        <v>4.4673000000000002E-10</v>
      </c>
      <c r="L76" s="7">
        <f t="shared" si="6"/>
        <v>6.6428200000000002E-10</v>
      </c>
      <c r="M76" s="6">
        <f t="shared" si="4"/>
        <v>3.4261518747946552E-10</v>
      </c>
      <c r="N76" s="6">
        <f t="shared" si="5"/>
        <v>9.8594881252053448E-10</v>
      </c>
      <c r="O76" s="6">
        <f t="shared" si="7"/>
        <v>3.216668125205345E-10</v>
      </c>
    </row>
    <row r="77" spans="1:15" x14ac:dyDescent="0.25">
      <c r="A77" s="9">
        <v>81</v>
      </c>
      <c r="B77" s="6">
        <f>'Plan1 (2)'!$G86</f>
        <v>4.6118999999999999E-10</v>
      </c>
      <c r="C77" s="6">
        <f>'Plan2 (2)'!$G86</f>
        <v>9.6126999999999993E-10</v>
      </c>
      <c r="D77" s="6">
        <f>'Plan3 (2)'!$G86</f>
        <v>4.7308999999999997E-10</v>
      </c>
      <c r="E77" s="6">
        <f>'Plan4 (2)'!$G86</f>
        <v>6.0939E-10</v>
      </c>
      <c r="F77" s="6">
        <f>'Plan5 (2)'!$G86</f>
        <v>1.8556000000000001E-9</v>
      </c>
      <c r="G77" s="6">
        <f>'Plan6 (2)'!$G86</f>
        <v>4.7848999999999997E-10</v>
      </c>
      <c r="H77" s="6">
        <f>'Plan7 (2)'!$G86</f>
        <v>4.0205000000000002E-10</v>
      </c>
      <c r="I77" s="6">
        <f>'Plan8 (2)'!$G86</f>
        <v>4.4917999999999999E-10</v>
      </c>
      <c r="J77" s="6">
        <f>'Plan9 (2)'!$G86</f>
        <v>4.8104000000000003E-10</v>
      </c>
      <c r="K77" s="6">
        <f>'Plan10 (2)'!$G86</f>
        <v>4.3264000000000002E-10</v>
      </c>
      <c r="L77" s="7">
        <f t="shared" si="6"/>
        <v>6.6039399999999996E-10</v>
      </c>
      <c r="M77" s="6">
        <f t="shared" si="4"/>
        <v>3.3827221376918131E-10</v>
      </c>
      <c r="N77" s="6">
        <f t="shared" si="5"/>
        <v>9.8251578623081867E-10</v>
      </c>
      <c r="O77" s="6">
        <f t="shared" si="7"/>
        <v>3.2212178623081865E-10</v>
      </c>
    </row>
    <row r="78" spans="1:15" x14ac:dyDescent="0.25">
      <c r="A78" s="9">
        <v>83</v>
      </c>
      <c r="B78" s="6">
        <f>'Plan1 (2)'!$G87</f>
        <v>4.6437000000000002E-10</v>
      </c>
      <c r="C78" s="6">
        <f>'Plan2 (2)'!$G87</f>
        <v>9.4385E-10</v>
      </c>
      <c r="D78" s="6">
        <f>'Plan3 (2)'!$G87</f>
        <v>4.7571999999999999E-10</v>
      </c>
      <c r="E78" s="6">
        <f>'Plan4 (2)'!$G87</f>
        <v>6.0624999999999995E-10</v>
      </c>
      <c r="F78" s="6">
        <f>'Plan5 (2)'!$G87</f>
        <v>1.8494E-9</v>
      </c>
      <c r="G78" s="6">
        <f>'Plan6 (2)'!$G87</f>
        <v>4.9144000000000001E-10</v>
      </c>
      <c r="H78" s="6">
        <f>'Plan7 (2)'!$G87</f>
        <v>3.7629999999999998E-10</v>
      </c>
      <c r="I78" s="6">
        <f>'Plan8 (2)'!$G87</f>
        <v>4.3908E-10</v>
      </c>
      <c r="J78" s="6">
        <f>'Plan9 (2)'!$G87</f>
        <v>4.8228000000000001E-10</v>
      </c>
      <c r="K78" s="6">
        <f>'Plan10 (2)'!$G87</f>
        <v>4.2718000000000002E-10</v>
      </c>
      <c r="L78" s="7">
        <f t="shared" si="6"/>
        <v>6.5558699999999988E-10</v>
      </c>
      <c r="M78" s="6">
        <f t="shared" si="4"/>
        <v>3.3445795661449173E-10</v>
      </c>
      <c r="N78" s="6">
        <f t="shared" si="5"/>
        <v>9.7671604338550803E-10</v>
      </c>
      <c r="O78" s="6">
        <f t="shared" si="7"/>
        <v>3.2112904338550815E-10</v>
      </c>
    </row>
    <row r="79" spans="1:15" x14ac:dyDescent="0.25">
      <c r="A79" s="9">
        <v>85</v>
      </c>
      <c r="B79" s="6">
        <f>'Plan1 (2)'!$G88</f>
        <v>4.6168999999999998E-10</v>
      </c>
      <c r="C79" s="6">
        <f>'Plan2 (2)'!$G88</f>
        <v>9.3544000000000003E-10</v>
      </c>
      <c r="D79" s="6">
        <f>'Plan3 (2)'!$G88</f>
        <v>4.7686000000000005E-10</v>
      </c>
      <c r="E79" s="6">
        <f>'Plan4 (2)'!$G88</f>
        <v>6.1453000000000005E-10</v>
      </c>
      <c r="F79" s="6">
        <f>'Plan5 (2)'!$G88</f>
        <v>1.8371E-9</v>
      </c>
      <c r="G79" s="6">
        <f>'Plan6 (2)'!$G88</f>
        <v>4.8146000000000001E-10</v>
      </c>
      <c r="H79" s="6">
        <f>'Plan7 (2)'!$G88</f>
        <v>3.8087999999999998E-10</v>
      </c>
      <c r="I79" s="6">
        <f>'Plan8 (2)'!$G88</f>
        <v>4.3981999999999999E-10</v>
      </c>
      <c r="J79" s="6">
        <f>'Plan9 (2)'!$G88</f>
        <v>4.7634000000000003E-10</v>
      </c>
      <c r="K79" s="6">
        <f>'Plan10 (2)'!$G88</f>
        <v>4.1025999999999999E-10</v>
      </c>
      <c r="L79" s="7">
        <f t="shared" si="6"/>
        <v>6.5143799999999996E-10</v>
      </c>
      <c r="M79" s="6">
        <f t="shared" si="4"/>
        <v>3.3241074445839672E-10</v>
      </c>
      <c r="N79" s="6">
        <f t="shared" si="5"/>
        <v>9.7046525554160324E-10</v>
      </c>
      <c r="O79" s="6">
        <f t="shared" si="7"/>
        <v>3.1902725554160323E-10</v>
      </c>
    </row>
    <row r="80" spans="1:15" x14ac:dyDescent="0.25">
      <c r="A80" s="9">
        <v>87</v>
      </c>
      <c r="B80" s="6">
        <f>'Plan1 (2)'!$G89</f>
        <v>4.6326000000000001E-10</v>
      </c>
      <c r="C80" s="6">
        <f>'Plan2 (2)'!$G89</f>
        <v>9.3545999999999999E-10</v>
      </c>
      <c r="D80" s="6">
        <f>'Plan3 (2)'!$G89</f>
        <v>4.7475000000000004E-10</v>
      </c>
      <c r="E80" s="6">
        <f>'Plan4 (2)'!$G89</f>
        <v>6.1785999999999997E-10</v>
      </c>
      <c r="F80" s="6">
        <f>'Plan5 (2)'!$G89</f>
        <v>1.8172999999999999E-9</v>
      </c>
      <c r="G80" s="6">
        <f>'Plan6 (2)'!$G89</f>
        <v>4.6127999999999998E-10</v>
      </c>
      <c r="H80" s="6">
        <f>'Plan7 (2)'!$G89</f>
        <v>3.8231E-10</v>
      </c>
      <c r="I80" s="6">
        <f>'Plan8 (2)'!$G89</f>
        <v>4.3664999999999999E-10</v>
      </c>
      <c r="J80" s="6">
        <f>'Plan9 (2)'!$G89</f>
        <v>4.7154999999999999E-10</v>
      </c>
      <c r="K80" s="6">
        <f>'Plan10 (2)'!$G89</f>
        <v>3.9510999999999999E-10</v>
      </c>
      <c r="L80" s="7">
        <f t="shared" si="6"/>
        <v>6.4555300000000004E-10</v>
      </c>
      <c r="M80" s="6">
        <f t="shared" si="4"/>
        <v>3.2920119458200652E-10</v>
      </c>
      <c r="N80" s="6">
        <f t="shared" si="5"/>
        <v>9.6190480541799355E-10</v>
      </c>
      <c r="O80" s="6">
        <f t="shared" si="7"/>
        <v>3.1635180541799352E-10</v>
      </c>
    </row>
    <row r="81" spans="1:15" x14ac:dyDescent="0.25">
      <c r="A81" s="10">
        <v>89</v>
      </c>
      <c r="B81" s="6">
        <f>'Plan1 (2)'!$G90</f>
        <v>4.6265E-10</v>
      </c>
      <c r="C81" s="6">
        <f>'Plan2 (2)'!$G90</f>
        <v>9.3978999999999992E-10</v>
      </c>
      <c r="D81" s="6">
        <f>'Plan3 (2)'!$G90</f>
        <v>4.7260999999999998E-10</v>
      </c>
      <c r="E81" s="6">
        <f>'Plan4 (2)'!$G90</f>
        <v>6.1886999999999995E-10</v>
      </c>
      <c r="F81" s="6">
        <f>'Plan5 (2)'!$G90</f>
        <v>1.7948E-9</v>
      </c>
      <c r="G81" s="6">
        <f>'Plan6 (2)'!$G90</f>
        <v>4.6461999999999999E-10</v>
      </c>
      <c r="H81" s="6">
        <f>'Plan7 (2)'!$G90</f>
        <v>3.6763E-10</v>
      </c>
      <c r="I81" s="6">
        <f>'Plan8 (2)'!$G90</f>
        <v>4.3379000000000001E-10</v>
      </c>
      <c r="J81" s="6">
        <f>'Plan9 (2)'!$G90</f>
        <v>4.6044000000000001E-10</v>
      </c>
      <c r="K81" s="6">
        <f>'Plan10 (2)'!$G90</f>
        <v>3.7478000000000002E-10</v>
      </c>
      <c r="L81" s="7">
        <f t="shared" si="6"/>
        <v>6.3899799999999995E-10</v>
      </c>
      <c r="M81" s="6">
        <f t="shared" si="4"/>
        <v>3.250553248184953E-10</v>
      </c>
      <c r="N81" s="6">
        <f t="shared" si="5"/>
        <v>9.5294067518150455E-10</v>
      </c>
      <c r="O81" s="6">
        <f t="shared" si="7"/>
        <v>3.1394267518150465E-10</v>
      </c>
    </row>
    <row r="82" spans="1:15" x14ac:dyDescent="0.25">
      <c r="A82" s="9">
        <v>91</v>
      </c>
      <c r="B82" s="6">
        <f>'Plan1 (2)'!$G91</f>
        <v>4.6532E-10</v>
      </c>
      <c r="C82" s="6">
        <f>'Plan2 (2)'!$G91</f>
        <v>9.4714999999999998E-10</v>
      </c>
      <c r="D82" s="6">
        <f>'Plan3 (2)'!$G91</f>
        <v>4.6256E-10</v>
      </c>
      <c r="E82" s="6">
        <f>'Plan4 (2)'!$G91</f>
        <v>6.2534000000000003E-10</v>
      </c>
      <c r="F82" s="6">
        <f>'Plan5 (2)'!$G91</f>
        <v>1.7745E-9</v>
      </c>
      <c r="G82" s="6">
        <f>'Plan6 (2)'!$G91</f>
        <v>4.6514000000000001E-10</v>
      </c>
      <c r="H82" s="6">
        <f>'Plan7 (2)'!$G91</f>
        <v>3.3700000000000003E-10</v>
      </c>
      <c r="I82" s="6">
        <f>'Plan8 (2)'!$G91</f>
        <v>4.2712000000000002E-10</v>
      </c>
      <c r="J82" s="6">
        <f>'Plan9 (2)'!$G91</f>
        <v>4.5050999999999998E-10</v>
      </c>
      <c r="K82" s="6">
        <f>'Plan10 (2)'!$G91</f>
        <v>3.7799999999999999E-10</v>
      </c>
      <c r="L82" s="7">
        <f t="shared" si="6"/>
        <v>6.3326400000000008E-10</v>
      </c>
      <c r="M82" s="6">
        <f t="shared" si="4"/>
        <v>3.2095119589509743E-10</v>
      </c>
      <c r="N82" s="6">
        <f t="shared" si="5"/>
        <v>9.4557680410490278E-10</v>
      </c>
      <c r="O82" s="6">
        <f t="shared" si="7"/>
        <v>3.1231280410490265E-10</v>
      </c>
    </row>
    <row r="83" spans="1:15" x14ac:dyDescent="0.25">
      <c r="A83" s="9">
        <v>93</v>
      </c>
      <c r="B83" s="6">
        <f>'Plan1 (2)'!$G92</f>
        <v>4.5973000000000002E-10</v>
      </c>
      <c r="C83" s="6">
        <f>'Plan2 (2)'!$G92</f>
        <v>9.4837999999999999E-10</v>
      </c>
      <c r="D83" s="6">
        <f>'Plan3 (2)'!$G92</f>
        <v>4.6097000000000001E-10</v>
      </c>
      <c r="E83" s="6">
        <f>'Plan4 (2)'!$G92</f>
        <v>6.2577E-10</v>
      </c>
      <c r="F83" s="6">
        <f>'Plan5 (2)'!$G92</f>
        <v>1.7532999999999999E-9</v>
      </c>
      <c r="G83" s="6">
        <f>'Plan6 (2)'!$G92</f>
        <v>4.7218000000000002E-10</v>
      </c>
      <c r="H83" s="6">
        <f>'Plan7 (2)'!$G92</f>
        <v>3.344E-10</v>
      </c>
      <c r="I83" s="6">
        <f>'Plan8 (2)'!$G92</f>
        <v>4.3141999999999999E-10</v>
      </c>
      <c r="J83" s="6">
        <f>'Plan9 (2)'!$G92</f>
        <v>4.4647999999999999E-10</v>
      </c>
      <c r="K83" s="6">
        <f>'Plan10 (2)'!$G92</f>
        <v>3.8030000000000002E-10</v>
      </c>
      <c r="L83" s="7">
        <f t="shared" si="6"/>
        <v>6.3129300000000013E-10</v>
      </c>
      <c r="M83" s="6">
        <f t="shared" si="4"/>
        <v>3.2328469485665433E-10</v>
      </c>
      <c r="N83" s="6">
        <f t="shared" si="5"/>
        <v>9.3930130514334603E-10</v>
      </c>
      <c r="O83" s="6">
        <f t="shared" si="7"/>
        <v>3.080083051433458E-10</v>
      </c>
    </row>
    <row r="84" spans="1:15" x14ac:dyDescent="0.25">
      <c r="A84" s="9">
        <v>95</v>
      </c>
      <c r="B84" s="6">
        <f>'Plan1 (2)'!$G93</f>
        <v>4.5625E-10</v>
      </c>
      <c r="C84" s="6">
        <f>'Plan2 (2)'!$G93</f>
        <v>9.5784999999999995E-10</v>
      </c>
      <c r="D84" s="6">
        <f>'Plan3 (2)'!$G93</f>
        <v>4.5769E-10</v>
      </c>
      <c r="E84" s="6">
        <f>'Plan4 (2)'!$G93</f>
        <v>6.3259999999999997E-10</v>
      </c>
      <c r="F84" s="6">
        <f>'Plan5 (2)'!$G93</f>
        <v>1.7329999999999999E-9</v>
      </c>
      <c r="G84" s="6">
        <f>'Plan6 (2)'!$G93</f>
        <v>4.8217E-10</v>
      </c>
      <c r="H84" s="6">
        <f>'Plan7 (2)'!$G93</f>
        <v>3.3222000000000002E-10</v>
      </c>
      <c r="I84" s="6">
        <f>'Plan8 (2)'!$G93</f>
        <v>4.2866E-10</v>
      </c>
      <c r="J84" s="6">
        <f>'Plan9 (2)'!$G93</f>
        <v>4.3831999999999999E-10</v>
      </c>
      <c r="K84" s="6">
        <f>'Plan10 (2)'!$G93</f>
        <v>3.7150000000000001E-10</v>
      </c>
      <c r="L84" s="7">
        <f t="shared" si="6"/>
        <v>6.2902600000000002E-10</v>
      </c>
      <c r="M84" s="6">
        <f t="shared" si="4"/>
        <v>3.2378846222433426E-10</v>
      </c>
      <c r="N84" s="6">
        <f t="shared" si="5"/>
        <v>9.3426353777566572E-10</v>
      </c>
      <c r="O84" s="6">
        <f t="shared" si="7"/>
        <v>3.0523753777566576E-10</v>
      </c>
    </row>
    <row r="85" spans="1:15" x14ac:dyDescent="0.25">
      <c r="A85" s="9">
        <v>97</v>
      </c>
      <c r="B85" s="6">
        <f>'Plan1 (2)'!$G94</f>
        <v>4.5771000000000001E-10</v>
      </c>
      <c r="C85" s="6">
        <f>'Plan2 (2)'!$G94</f>
        <v>9.7206999999999993E-10</v>
      </c>
      <c r="D85" s="6">
        <f>'Plan3 (2)'!$G94</f>
        <v>4.5372999999999999E-10</v>
      </c>
      <c r="E85" s="6">
        <f>'Plan4 (2)'!$G94</f>
        <v>6.3608000000000004E-10</v>
      </c>
      <c r="F85" s="6">
        <f>'Plan5 (2)'!$G94</f>
        <v>1.7154999999999999E-9</v>
      </c>
      <c r="G85" s="6">
        <f>'Plan6 (2)'!$G94</f>
        <v>4.7612999999999999E-10</v>
      </c>
      <c r="H85" s="6">
        <f>'Plan7 (2)'!$G94</f>
        <v>3.2504999999999998E-10</v>
      </c>
      <c r="I85" s="6">
        <f>'Plan8 (2)'!$G94</f>
        <v>4.2865000000000001E-10</v>
      </c>
      <c r="J85" s="6">
        <f>'Plan9 (2)'!$G94</f>
        <v>4.3133E-10</v>
      </c>
      <c r="K85" s="6">
        <f>'Plan10 (2)'!$G94</f>
        <v>3.5550000000000001E-10</v>
      </c>
      <c r="L85" s="7">
        <f t="shared" si="6"/>
        <v>6.2517499999999996E-10</v>
      </c>
      <c r="M85" s="6">
        <f t="shared" si="4"/>
        <v>3.2093438416506895E-10</v>
      </c>
      <c r="N85" s="6">
        <f t="shared" si="5"/>
        <v>9.2941561583493097E-10</v>
      </c>
      <c r="O85" s="6">
        <f t="shared" si="7"/>
        <v>3.0424061583493101E-10</v>
      </c>
    </row>
    <row r="86" spans="1:15" x14ac:dyDescent="0.25">
      <c r="A86" s="10">
        <v>99</v>
      </c>
      <c r="B86" s="6">
        <f>'Plan1 (2)'!$G95</f>
        <v>4.5378000000000001E-10</v>
      </c>
      <c r="C86" s="6">
        <f>'Plan2 (2)'!$G95</f>
        <v>9.8033000000000007E-10</v>
      </c>
      <c r="D86" s="6">
        <f>'Plan3 (2)'!$G95</f>
        <v>4.5235999999999998E-10</v>
      </c>
      <c r="E86" s="6">
        <f>'Plan4 (2)'!$G95</f>
        <v>6.3966000000000004E-10</v>
      </c>
      <c r="F86" s="6">
        <f>'Plan5 (2)'!$G95</f>
        <v>1.6984E-9</v>
      </c>
      <c r="G86" s="6">
        <f>'Plan6 (2)'!$G95</f>
        <v>4.7693000000000003E-10</v>
      </c>
      <c r="H86" s="6">
        <f>'Plan7 (2)'!$G95</f>
        <v>3.167E-10</v>
      </c>
      <c r="I86" s="6">
        <f>'Plan8 (2)'!$G95</f>
        <v>4.3179000000000002E-10</v>
      </c>
      <c r="J86" s="6">
        <f>'Plan9 (2)'!$G95</f>
        <v>4.2267E-10</v>
      </c>
      <c r="K86" s="6">
        <f>'Plan10 (2)'!$G95</f>
        <v>3.4641999999999998E-10</v>
      </c>
      <c r="L86" s="7">
        <f t="shared" si="6"/>
        <v>6.2190399999999992E-10</v>
      </c>
      <c r="M86" s="6">
        <f>L86-O86</f>
        <v>3.1929169507847446E-10</v>
      </c>
      <c r="N86" s="6">
        <f t="shared" si="5"/>
        <v>9.2451630492152538E-10</v>
      </c>
      <c r="O86" s="6">
        <f t="shared" si="7"/>
        <v>3.0261230492152546E-10</v>
      </c>
    </row>
    <row r="87" spans="1:15" x14ac:dyDescent="0.25">
      <c r="A87" s="9">
        <v>101</v>
      </c>
      <c r="B87" s="6">
        <f>'Plan1 (2)'!$G96</f>
        <v>4.5102000000000001E-10</v>
      </c>
      <c r="C87" s="6">
        <f>'Plan2 (2)'!$G96</f>
        <v>9.8561999999999995E-10</v>
      </c>
      <c r="D87" s="6">
        <f>'Plan3 (2)'!$G96</f>
        <v>4.4935999999999999E-10</v>
      </c>
      <c r="E87" s="6">
        <f>'Plan4 (2)'!$G96</f>
        <v>6.4339999999999997E-10</v>
      </c>
      <c r="F87" s="6">
        <f>'Plan5 (2)'!$G96</f>
        <v>1.6843000000000001E-9</v>
      </c>
      <c r="G87" s="6">
        <f>'Plan6 (2)'!$G96</f>
        <v>4.8920000000000003E-10</v>
      </c>
      <c r="H87" s="6">
        <f>'Plan7 (2)'!$G96</f>
        <v>3.0548000000000001E-10</v>
      </c>
      <c r="I87" s="6">
        <f>'Plan8 (2)'!$G96</f>
        <v>4.2516000000000001E-10</v>
      </c>
      <c r="J87" s="6">
        <f>'Plan9 (2)'!$G96</f>
        <v>4.1272E-10</v>
      </c>
      <c r="K87" s="6">
        <f>'Plan10 (2)'!$G96</f>
        <v>3.4324999999999998E-10</v>
      </c>
      <c r="L87" s="7">
        <f t="shared" si="6"/>
        <v>6.1895100000000003E-10</v>
      </c>
      <c r="M87" s="6">
        <f t="shared" si="4"/>
        <v>3.1750249539706679E-10</v>
      </c>
      <c r="N87" s="6">
        <f t="shared" si="5"/>
        <v>9.2039950460293326E-10</v>
      </c>
      <c r="O87" s="6">
        <f t="shared" si="7"/>
        <v>3.0144850460293323E-10</v>
      </c>
    </row>
    <row r="88" spans="1:15" x14ac:dyDescent="0.25">
      <c r="A88" s="9">
        <v>103</v>
      </c>
      <c r="B88" s="6">
        <f>'Plan1 (2)'!$G97</f>
        <v>4.4923999999999999E-10</v>
      </c>
      <c r="C88" s="6">
        <f>'Plan2 (2)'!$G97</f>
        <v>9.8180999999999994E-10</v>
      </c>
      <c r="D88" s="6">
        <f>'Plan3 (2)'!$G97</f>
        <v>4.4859E-10</v>
      </c>
      <c r="E88" s="6">
        <f>'Plan4 (2)'!$G97</f>
        <v>6.4224000000000005E-10</v>
      </c>
      <c r="F88" s="6">
        <f>'Plan5 (2)'!$G97</f>
        <v>1.6716999999999999E-9</v>
      </c>
      <c r="G88" s="6">
        <f>'Plan6 (2)'!$G97</f>
        <v>4.9901000000000002E-10</v>
      </c>
      <c r="H88" s="6">
        <f>'Plan7 (2)'!$G97</f>
        <v>3.0132E-10</v>
      </c>
      <c r="I88" s="6">
        <f>'Plan8 (2)'!$G97</f>
        <v>4.2472000000000001E-10</v>
      </c>
      <c r="J88" s="6">
        <f>'Plan9 (2)'!$G97</f>
        <v>4.0880000000000003E-10</v>
      </c>
      <c r="K88" s="6">
        <f>'Plan10 (2)'!$G97</f>
        <v>3.2788000000000001E-10</v>
      </c>
      <c r="L88" s="7">
        <f t="shared" si="6"/>
        <v>6.1553099999999995E-10</v>
      </c>
      <c r="M88" s="6">
        <f t="shared" si="4"/>
        <v>3.1579313998616931E-10</v>
      </c>
      <c r="N88" s="6">
        <f t="shared" si="5"/>
        <v>9.1526886001383064E-10</v>
      </c>
      <c r="O88" s="6">
        <f t="shared" si="7"/>
        <v>2.9973786001383064E-10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2.999759E-4</v>
      </c>
    </row>
    <row r="4" spans="2:12" x14ac:dyDescent="0.25">
      <c r="B4" t="s">
        <v>29</v>
      </c>
      <c r="C4" t="s">
        <v>28</v>
      </c>
      <c r="D4" s="11">
        <v>2.9992590000000002E-4</v>
      </c>
    </row>
    <row r="5" spans="2:12" x14ac:dyDescent="0.25">
      <c r="B5" t="s">
        <v>30</v>
      </c>
      <c r="C5" t="s">
        <v>28</v>
      </c>
      <c r="D5" s="11">
        <v>2.9994670000000001E-4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2</v>
      </c>
      <c r="F11" s="11">
        <v>0</v>
      </c>
      <c r="G11" s="11">
        <v>1.1599E-8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6.0499E-9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2.9997999999999999E-9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2</v>
      </c>
      <c r="F14" s="11">
        <v>0</v>
      </c>
      <c r="G14" s="11">
        <v>3.2112999999999999E-9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2.8065999999999998E-9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2.0519999999999999E-9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1</v>
      </c>
      <c r="F17" s="11">
        <v>0</v>
      </c>
      <c r="G17" s="11">
        <v>1.7296999999999999E-9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1.7666000000000001E-9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1.5514E-9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1.3168E-9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1.2781E-9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1</v>
      </c>
      <c r="F22" s="11">
        <v>0</v>
      </c>
      <c r="G22" s="11">
        <v>1.2880000000000001E-9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1.1045000000000001E-9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1</v>
      </c>
      <c r="F24" s="11">
        <v>0</v>
      </c>
      <c r="G24" s="11">
        <v>1.0422E-9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1</v>
      </c>
      <c r="F25" s="11">
        <v>0</v>
      </c>
      <c r="G25" s="11">
        <v>1.1262999999999999E-9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1.0183000000000001E-9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9.6261999999999993E-10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1</v>
      </c>
      <c r="F28" s="11">
        <v>0</v>
      </c>
      <c r="G28" s="11">
        <v>9.7702E-10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9.2134000000000005E-10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8.6825999999999996E-10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8.6047000000000003E-10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8.3059000000000002E-10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8.0119999999999998E-10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7.5697000000000002E-10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7.4371000000000001E-10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7.2446E-10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6.7340999999999995E-10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6.8905000000000001E-10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6.5300000000000002E-10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6.263E-10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6.3305999999999998E-10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1</v>
      </c>
      <c r="F42" s="11">
        <v>0</v>
      </c>
      <c r="G42" s="11">
        <v>5.9579999999999995E-10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5.8885999999999997E-10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5.7819000000000005E-10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5.6912E-10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5.6583E-10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5.5409E-10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5.5048000000000005E-10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5.3802999999999995E-10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5.2207000000000004E-10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5.3101999999999999E-10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5.2455000000000001E-10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5.1392000000000002E-10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5.2359000000000005E-10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5.1711999999999997E-10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5.0816000000000003E-10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5.1029E-10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5.1487999999999998E-10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4.9607000000000003E-10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4.9763999999999995E-10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5.0741999999999999E-10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4.8009000000000005E-10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4.7858000000000002E-10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4.8087000000000002E-10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4.672E-10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4.6754000000000002E-10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4.6571000000000004E-10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4.6713000000000002E-10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4.5777000000000001E-10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4.5619E-10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4.6850999999999997E-10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4.5786000000000001E-10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4.5589000000000001E-10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4.6519000000000002E-10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4.5549E-10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4.5411999999999998E-10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4.5986999999999998E-10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4.6294000000000001E-10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4.5763E-10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4.5907E-10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4.6588000000000005E-10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4.5822E-10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4.6215999999999998E-10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4.6544999999999998E-10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4.5422000000000001E-10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4.6118999999999999E-10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4.6437000000000002E-10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4.6168999999999998E-10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4.6326000000000001E-10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4.6265E-10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4.6532E-10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4.5973000000000002E-10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4.5625E-10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4.5771000000000001E-10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4.5378000000000001E-10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4.5102000000000001E-10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4.4923999999999999E-10</v>
      </c>
      <c r="H97" s="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2.999732E-4</v>
      </c>
    </row>
    <row r="4" spans="2:12" x14ac:dyDescent="0.25">
      <c r="B4" t="s">
        <v>29</v>
      </c>
      <c r="C4" t="s">
        <v>28</v>
      </c>
      <c r="D4" s="11">
        <v>2.999182E-4</v>
      </c>
    </row>
    <row r="5" spans="2:12" x14ac:dyDescent="0.25">
      <c r="B5" t="s">
        <v>30</v>
      </c>
      <c r="C5" t="s">
        <v>28</v>
      </c>
      <c r="D5" s="11">
        <v>2.9994329999999999E-4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2</v>
      </c>
      <c r="F11" s="11">
        <v>0</v>
      </c>
      <c r="G11" s="11">
        <v>1.2364000000000001E-8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5.6902000000000001E-9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0</v>
      </c>
      <c r="F13" s="11">
        <v>0</v>
      </c>
      <c r="G13" s="11">
        <v>4.2757E-9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0</v>
      </c>
      <c r="F14" s="11">
        <v>0</v>
      </c>
      <c r="G14" s="11">
        <v>3.7687E-9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0</v>
      </c>
      <c r="F15" s="11">
        <v>0</v>
      </c>
      <c r="G15" s="11">
        <v>3.5455999999999998E-9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0</v>
      </c>
      <c r="F16" s="11">
        <v>0</v>
      </c>
      <c r="G16" s="11">
        <v>2.9427000000000002E-9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2.3334999999999999E-9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0</v>
      </c>
      <c r="F18" s="11">
        <v>0</v>
      </c>
      <c r="G18" s="11">
        <v>2.4773000000000001E-9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2.0721999999999999E-9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2.0024E-9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1.9547999999999999E-9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1.9543000000000002E-9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1.8297E-9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1.7862999999999999E-9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1.7687999999999999E-9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1.6462E-9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1.6561999999999999E-9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1.6034000000000001E-9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1.5786999999999999E-9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1.5247999999999999E-9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1.5287999999999999E-9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1.5152999999999999E-9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1.4712E-9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1.4751E-9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1.4395E-9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1.4383999999999999E-9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1.4229999999999999E-9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1.4271E-9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1.4107000000000001E-9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1.4045000000000001E-9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1.397E-9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1.3738E-9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1.3706E-9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1.3456E-9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1.3500999999999999E-9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1.3318999999999999E-9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1.3385000000000001E-9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1.3432999999999999E-9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1.3418000000000001E-9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1.3493000000000001E-9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1.3440999999999999E-9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1.3492000000000001E-9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1.3374E-9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1.3348E-9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0</v>
      </c>
      <c r="F55" s="11">
        <v>0</v>
      </c>
      <c r="G55" s="11">
        <v>1.3227E-9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1.3217000000000001E-9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1.3134E-9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1.3126E-9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1.3068999999999999E-9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1.2923E-9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1.2873999999999999E-9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1.2779999999999999E-9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1.2714E-9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1.2596000000000001E-9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1.2575000000000001E-9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1.2462000000000001E-9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1.2320999999999999E-9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1.2206999999999999E-9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1.2067E-9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1.192E-9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1.1758E-9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1.165E-9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1.146E-9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1.1396000000000001E-9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1.1288000000000001E-9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1.1154000000000001E-9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1.107E-9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1.0963E-9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1.0894E-9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1.0767E-9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1.0718E-9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1.0492000000000001E-9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1.0293E-9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1.0029999999999999E-9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9.808400000000001E-10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9.6126999999999993E-10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9.4385E-10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9.3544000000000003E-10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9.3545999999999999E-10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9.3978999999999992E-10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9.4714999999999998E-10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9.4837999999999999E-10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9.5784999999999995E-10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9.7206999999999993E-10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9.8033000000000007E-10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9.8561999999999995E-10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9.8180999999999994E-10</v>
      </c>
      <c r="H97" s="11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2.9997310000000002E-4</v>
      </c>
    </row>
    <row r="4" spans="2:12" x14ac:dyDescent="0.25">
      <c r="B4" t="s">
        <v>29</v>
      </c>
      <c r="C4" t="s">
        <v>28</v>
      </c>
      <c r="D4" s="11">
        <v>2.9992289999999997E-4</v>
      </c>
    </row>
    <row r="5" spans="2:12" x14ac:dyDescent="0.25">
      <c r="B5" t="s">
        <v>30</v>
      </c>
      <c r="C5" t="s">
        <v>28</v>
      </c>
      <c r="D5" s="11">
        <v>2.9994480000000002E-4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2</v>
      </c>
      <c r="F11" s="11">
        <v>0</v>
      </c>
      <c r="G11" s="11">
        <v>1.1672E-8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1</v>
      </c>
      <c r="F12" s="11">
        <v>0</v>
      </c>
      <c r="G12" s="11">
        <v>5.8001999999999999E-9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3.5601000000000001E-9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3.2828999999999999E-9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2.8009000000000001E-9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1</v>
      </c>
      <c r="F16" s="11">
        <v>0</v>
      </c>
      <c r="G16" s="11">
        <v>2.1968000000000001E-9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1.5637000000000001E-9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2</v>
      </c>
      <c r="F18" s="11">
        <v>0</v>
      </c>
      <c r="G18" s="11">
        <v>1.8832999999999999E-9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1.5313000000000001E-9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1.2872000000000001E-9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1.3600000000000001E-9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1.1969000000000001E-9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9.9431000000000005E-10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9.5709999999999993E-10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9.8354999999999998E-10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8.4640999999999998E-10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8.1591000000000003E-10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8.4205999999999999E-10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7.4053000000000003E-10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6.9863E-10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7.2675999999999998E-10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-1</v>
      </c>
      <c r="F32" s="11">
        <v>0</v>
      </c>
      <c r="G32" s="11">
        <v>6.9000999999999998E-10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-1</v>
      </c>
      <c r="F33" s="11">
        <v>0</v>
      </c>
      <c r="G33" s="11">
        <v>6.6186000000000003E-10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6.5635000000000001E-10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6.3187999999999999E-10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6.0644000000000003E-10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-1</v>
      </c>
      <c r="F37" s="11">
        <v>0</v>
      </c>
      <c r="G37" s="11">
        <v>6.1145999999999998E-10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-1</v>
      </c>
      <c r="F38" s="11">
        <v>0</v>
      </c>
      <c r="G38" s="11">
        <v>6.0233000000000003E-10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5.7668000000000002E-10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0</v>
      </c>
      <c r="F40" s="11">
        <v>0</v>
      </c>
      <c r="G40" s="11">
        <v>5.6539000000000005E-10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5.5931999999999999E-10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5.3772999999999996E-10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5.2403999999999998E-10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-1</v>
      </c>
      <c r="F44" s="11">
        <v>0</v>
      </c>
      <c r="G44" s="11">
        <v>5.2912000000000003E-10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5.1182999999999998E-10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5.0101999999999999E-10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5.0436999999999999E-10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5.0209999999999995E-10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-1</v>
      </c>
      <c r="F49" s="11">
        <v>0</v>
      </c>
      <c r="G49" s="11">
        <v>5.0065000000000002E-10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5.1139000000000003E-10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5.0575000000000004E-10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4.9238999999999999E-10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4.8223999999999998E-10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4.6531000000000002E-10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4.6908E-10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4.5536000000000002E-10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4.5073999999999999E-10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4.4774999999999998E-10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4.4465000000000001E-10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4.5672999999999998E-10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-1</v>
      </c>
      <c r="F61" s="11">
        <v>0</v>
      </c>
      <c r="G61" s="11">
        <v>4.4213999999999998E-10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4.4846000000000002E-10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4.5278999999999999E-10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4.4436999999999999E-10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4.4903999999999998E-10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4.4541000000000002E-10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4.5047E-10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4.5276999999999998E-10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4.5078000000000002E-10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4.581E-10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4.5173E-10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4.5328999999999999E-10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4.6092999999999998E-10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4.5690999999999998E-10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4.6203000000000001E-10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4.5979000000000002E-10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4.6223000000000002E-10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4.6283999999999998E-10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4.6323999999999999E-10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4.6841000000000004E-10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4.6346000000000002E-10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4.6931000000000001E-10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4.7102999999999998E-10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4.7324000000000001E-10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4.7346000000000004E-10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4.7308999999999997E-10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4.7571999999999999E-10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4.7686000000000005E-10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4.7475000000000004E-10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4.7260999999999998E-10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4.6256E-10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4.6097000000000001E-10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4.5769E-10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4.5372999999999999E-10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4.5235999999999998E-10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4.4935999999999999E-10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4.4859E-10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418</v>
      </c>
      <c r="H2" t="s">
        <v>26</v>
      </c>
      <c r="I2">
        <v>418</v>
      </c>
    </row>
    <row r="3" spans="2:12" x14ac:dyDescent="0.25">
      <c r="B3" t="s">
        <v>27</v>
      </c>
      <c r="C3" t="s">
        <v>28</v>
      </c>
      <c r="D3" s="11">
        <v>2.9997299999999998E-4</v>
      </c>
    </row>
    <row r="4" spans="2:12" x14ac:dyDescent="0.25">
      <c r="B4" t="s">
        <v>29</v>
      </c>
      <c r="C4" t="s">
        <v>28</v>
      </c>
      <c r="D4" s="11">
        <v>2.9992469999999999E-4</v>
      </c>
    </row>
    <row r="5" spans="2:12" x14ac:dyDescent="0.25">
      <c r="B5" t="s">
        <v>30</v>
      </c>
      <c r="C5" t="s">
        <v>28</v>
      </c>
      <c r="D5" s="11">
        <v>2.999454E-4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417</v>
      </c>
      <c r="E11">
        <v>2</v>
      </c>
      <c r="F11" s="11">
        <v>0</v>
      </c>
      <c r="G11" s="11">
        <v>1.1605E-8</v>
      </c>
      <c r="H11" s="11">
        <v>0</v>
      </c>
    </row>
    <row r="12" spans="2:12" x14ac:dyDescent="0.25">
      <c r="B12">
        <v>2</v>
      </c>
      <c r="C12" s="11">
        <v>2</v>
      </c>
      <c r="D12">
        <v>415</v>
      </c>
      <c r="E12">
        <v>1</v>
      </c>
      <c r="F12" s="11">
        <v>0</v>
      </c>
      <c r="G12" s="11">
        <v>5.8658000000000002E-9</v>
      </c>
      <c r="H12" s="11">
        <v>0</v>
      </c>
    </row>
    <row r="13" spans="2:12" x14ac:dyDescent="0.25">
      <c r="B13">
        <v>3</v>
      </c>
      <c r="C13" s="11">
        <v>3</v>
      </c>
      <c r="D13">
        <v>413</v>
      </c>
      <c r="E13">
        <v>0</v>
      </c>
      <c r="F13" s="11">
        <v>0</v>
      </c>
      <c r="G13" s="11">
        <v>3.4307000000000002E-9</v>
      </c>
      <c r="H13" s="11">
        <v>0</v>
      </c>
    </row>
    <row r="14" spans="2:12" x14ac:dyDescent="0.25">
      <c r="B14">
        <v>4</v>
      </c>
      <c r="C14" s="11">
        <v>4</v>
      </c>
      <c r="D14">
        <v>411</v>
      </c>
      <c r="E14">
        <v>1</v>
      </c>
      <c r="F14" s="11">
        <v>0</v>
      </c>
      <c r="G14" s="11">
        <v>3.2856999999999999E-9</v>
      </c>
      <c r="H14" s="11">
        <v>0</v>
      </c>
    </row>
    <row r="15" spans="2:12" x14ac:dyDescent="0.25">
      <c r="B15">
        <v>5</v>
      </c>
      <c r="C15" s="11">
        <v>5</v>
      </c>
      <c r="D15">
        <v>409</v>
      </c>
      <c r="E15">
        <v>1</v>
      </c>
      <c r="F15" s="11">
        <v>0</v>
      </c>
      <c r="G15" s="11">
        <v>2.8466000000000001E-9</v>
      </c>
      <c r="H15" s="11">
        <v>0</v>
      </c>
    </row>
    <row r="16" spans="2:12" x14ac:dyDescent="0.25">
      <c r="B16">
        <v>6</v>
      </c>
      <c r="C16" s="11">
        <v>6</v>
      </c>
      <c r="D16">
        <v>407</v>
      </c>
      <c r="E16">
        <v>1</v>
      </c>
      <c r="F16" s="11">
        <v>0</v>
      </c>
      <c r="G16" s="11">
        <v>2.2823999999999999E-9</v>
      </c>
      <c r="H16" s="11">
        <v>0</v>
      </c>
    </row>
    <row r="17" spans="2:8" x14ac:dyDescent="0.25">
      <c r="B17">
        <v>7</v>
      </c>
      <c r="C17" s="11">
        <v>7</v>
      </c>
      <c r="D17">
        <v>405</v>
      </c>
      <c r="E17">
        <v>0</v>
      </c>
      <c r="F17" s="11">
        <v>0</v>
      </c>
      <c r="G17" s="11">
        <v>1.6762000000000001E-9</v>
      </c>
      <c r="H17" s="11">
        <v>0</v>
      </c>
    </row>
    <row r="18" spans="2:8" x14ac:dyDescent="0.25">
      <c r="B18">
        <v>8</v>
      </c>
      <c r="C18" s="11">
        <v>8</v>
      </c>
      <c r="D18">
        <v>403</v>
      </c>
      <c r="E18">
        <v>0</v>
      </c>
      <c r="F18" s="11">
        <v>0</v>
      </c>
      <c r="G18" s="11">
        <v>1.8593E-9</v>
      </c>
      <c r="H18" s="11">
        <v>0</v>
      </c>
    </row>
    <row r="19" spans="2:8" x14ac:dyDescent="0.25">
      <c r="B19">
        <v>9</v>
      </c>
      <c r="C19" s="11">
        <v>9</v>
      </c>
      <c r="D19">
        <v>401</v>
      </c>
      <c r="E19">
        <v>0</v>
      </c>
      <c r="F19" s="11">
        <v>0</v>
      </c>
      <c r="G19" s="11">
        <v>1.5136E-9</v>
      </c>
      <c r="H19" s="11">
        <v>0</v>
      </c>
    </row>
    <row r="20" spans="2:8" x14ac:dyDescent="0.25">
      <c r="B20">
        <v>10</v>
      </c>
      <c r="C20" s="11">
        <v>10</v>
      </c>
      <c r="D20">
        <v>399</v>
      </c>
      <c r="E20">
        <v>0</v>
      </c>
      <c r="F20" s="11">
        <v>0</v>
      </c>
      <c r="G20" s="11">
        <v>1.2263E-9</v>
      </c>
      <c r="H20" s="11">
        <v>0</v>
      </c>
    </row>
    <row r="21" spans="2:8" x14ac:dyDescent="0.25">
      <c r="B21">
        <v>11</v>
      </c>
      <c r="C21" s="11">
        <v>11</v>
      </c>
      <c r="D21">
        <v>397</v>
      </c>
      <c r="E21">
        <v>0</v>
      </c>
      <c r="F21" s="11">
        <v>0</v>
      </c>
      <c r="G21" s="11">
        <v>1.3534999999999999E-9</v>
      </c>
      <c r="H21" s="11">
        <v>0</v>
      </c>
    </row>
    <row r="22" spans="2:8" x14ac:dyDescent="0.25">
      <c r="B22">
        <v>12</v>
      </c>
      <c r="C22" s="11">
        <v>12</v>
      </c>
      <c r="D22">
        <v>395</v>
      </c>
      <c r="E22">
        <v>0</v>
      </c>
      <c r="F22" s="11">
        <v>0</v>
      </c>
      <c r="G22" s="11">
        <v>1.2339000000000001E-9</v>
      </c>
      <c r="H22" s="11">
        <v>0</v>
      </c>
    </row>
    <row r="23" spans="2:8" x14ac:dyDescent="0.25">
      <c r="B23">
        <v>13</v>
      </c>
      <c r="C23" s="11">
        <v>13</v>
      </c>
      <c r="D23">
        <v>393</v>
      </c>
      <c r="E23">
        <v>0</v>
      </c>
      <c r="F23" s="11">
        <v>0</v>
      </c>
      <c r="G23" s="11">
        <v>1.0864000000000001E-9</v>
      </c>
      <c r="H23" s="11">
        <v>0</v>
      </c>
    </row>
    <row r="24" spans="2:8" x14ac:dyDescent="0.25">
      <c r="B24">
        <v>14</v>
      </c>
      <c r="C24" s="11">
        <v>14</v>
      </c>
      <c r="D24">
        <v>391</v>
      </c>
      <c r="E24">
        <v>0</v>
      </c>
      <c r="F24" s="11">
        <v>0</v>
      </c>
      <c r="G24" s="11">
        <v>1.0489E-9</v>
      </c>
      <c r="H24" s="11">
        <v>0</v>
      </c>
    </row>
    <row r="25" spans="2:8" x14ac:dyDescent="0.25">
      <c r="B25">
        <v>15</v>
      </c>
      <c r="C25" s="11">
        <v>15</v>
      </c>
      <c r="D25">
        <v>389</v>
      </c>
      <c r="E25">
        <v>0</v>
      </c>
      <c r="F25" s="11">
        <v>0</v>
      </c>
      <c r="G25" s="11">
        <v>1.0466000000000001E-9</v>
      </c>
      <c r="H25" s="11">
        <v>0</v>
      </c>
    </row>
    <row r="26" spans="2:8" x14ac:dyDescent="0.25">
      <c r="B26">
        <v>16</v>
      </c>
      <c r="C26" s="11">
        <v>16</v>
      </c>
      <c r="D26">
        <v>387</v>
      </c>
      <c r="E26">
        <v>0</v>
      </c>
      <c r="F26" s="11">
        <v>0</v>
      </c>
      <c r="G26" s="11">
        <v>9.4191999999999999E-10</v>
      </c>
      <c r="H26" s="11">
        <v>0</v>
      </c>
    </row>
    <row r="27" spans="2:8" x14ac:dyDescent="0.25">
      <c r="B27">
        <v>17</v>
      </c>
      <c r="C27" s="11">
        <v>17</v>
      </c>
      <c r="D27">
        <v>385</v>
      </c>
      <c r="E27">
        <v>0</v>
      </c>
      <c r="F27" s="11">
        <v>0</v>
      </c>
      <c r="G27" s="11">
        <v>8.7522E-10</v>
      </c>
      <c r="H27" s="11">
        <v>0</v>
      </c>
    </row>
    <row r="28" spans="2:8" x14ac:dyDescent="0.25">
      <c r="B28">
        <v>18</v>
      </c>
      <c r="C28" s="11">
        <v>18</v>
      </c>
      <c r="D28">
        <v>383</v>
      </c>
      <c r="E28">
        <v>0</v>
      </c>
      <c r="F28" s="11">
        <v>0</v>
      </c>
      <c r="G28" s="11">
        <v>8.9191999999999996E-10</v>
      </c>
      <c r="H28" s="11">
        <v>0</v>
      </c>
    </row>
    <row r="29" spans="2:8" x14ac:dyDescent="0.25">
      <c r="B29">
        <v>19</v>
      </c>
      <c r="C29" s="11">
        <v>19</v>
      </c>
      <c r="D29">
        <v>381</v>
      </c>
      <c r="E29">
        <v>0</v>
      </c>
      <c r="F29" s="11">
        <v>0</v>
      </c>
      <c r="G29" s="11">
        <v>8.6199000000000004E-10</v>
      </c>
      <c r="H29" s="11">
        <v>0</v>
      </c>
    </row>
    <row r="30" spans="2:8" x14ac:dyDescent="0.25">
      <c r="B30">
        <v>20</v>
      </c>
      <c r="C30" s="11">
        <v>20</v>
      </c>
      <c r="D30">
        <v>379</v>
      </c>
      <c r="E30">
        <v>0</v>
      </c>
      <c r="F30" s="11">
        <v>0</v>
      </c>
      <c r="G30" s="11">
        <v>7.8645999999999999E-10</v>
      </c>
      <c r="H30" s="11">
        <v>0</v>
      </c>
    </row>
    <row r="31" spans="2:8" x14ac:dyDescent="0.25">
      <c r="B31">
        <v>21</v>
      </c>
      <c r="C31" s="11">
        <v>21</v>
      </c>
      <c r="D31">
        <v>377</v>
      </c>
      <c r="E31">
        <v>0</v>
      </c>
      <c r="F31" s="11">
        <v>0</v>
      </c>
      <c r="G31" s="11">
        <v>7.9407000000000003E-10</v>
      </c>
      <c r="H31" s="11">
        <v>0</v>
      </c>
    </row>
    <row r="32" spans="2:8" x14ac:dyDescent="0.25">
      <c r="B32">
        <v>22</v>
      </c>
      <c r="C32" s="11">
        <v>22</v>
      </c>
      <c r="D32">
        <v>375</v>
      </c>
      <c r="E32">
        <v>0</v>
      </c>
      <c r="F32" s="11">
        <v>0</v>
      </c>
      <c r="G32" s="11">
        <v>7.6984999999999998E-10</v>
      </c>
      <c r="H32" s="11">
        <v>0</v>
      </c>
    </row>
    <row r="33" spans="2:8" x14ac:dyDescent="0.25">
      <c r="B33">
        <v>23</v>
      </c>
      <c r="C33" s="11">
        <v>23</v>
      </c>
      <c r="D33">
        <v>373</v>
      </c>
      <c r="E33">
        <v>0</v>
      </c>
      <c r="F33" s="11">
        <v>0</v>
      </c>
      <c r="G33" s="11">
        <v>7.1757000000000004E-10</v>
      </c>
      <c r="H33" s="11">
        <v>0</v>
      </c>
    </row>
    <row r="34" spans="2:8" x14ac:dyDescent="0.25">
      <c r="B34">
        <v>24</v>
      </c>
      <c r="C34" s="11">
        <v>24</v>
      </c>
      <c r="D34">
        <v>371</v>
      </c>
      <c r="E34">
        <v>-1</v>
      </c>
      <c r="F34" s="11">
        <v>0</v>
      </c>
      <c r="G34" s="11">
        <v>7.1988E-10</v>
      </c>
      <c r="H34" s="11">
        <v>0</v>
      </c>
    </row>
    <row r="35" spans="2:8" x14ac:dyDescent="0.25">
      <c r="B35">
        <v>25</v>
      </c>
      <c r="C35" s="11">
        <v>25</v>
      </c>
      <c r="D35">
        <v>369</v>
      </c>
      <c r="E35">
        <v>0</v>
      </c>
      <c r="F35" s="11">
        <v>0</v>
      </c>
      <c r="G35" s="11">
        <v>6.9312999999999996E-10</v>
      </c>
      <c r="H35" s="11">
        <v>0</v>
      </c>
    </row>
    <row r="36" spans="2:8" x14ac:dyDescent="0.25">
      <c r="B36">
        <v>26</v>
      </c>
      <c r="C36" s="11">
        <v>26</v>
      </c>
      <c r="D36">
        <v>367</v>
      </c>
      <c r="E36">
        <v>0</v>
      </c>
      <c r="F36" s="11">
        <v>0</v>
      </c>
      <c r="G36" s="11">
        <v>6.6998999999999998E-10</v>
      </c>
      <c r="H36" s="11">
        <v>0</v>
      </c>
    </row>
    <row r="37" spans="2:8" x14ac:dyDescent="0.25">
      <c r="B37">
        <v>27</v>
      </c>
      <c r="C37" s="11">
        <v>27</v>
      </c>
      <c r="D37">
        <v>365</v>
      </c>
      <c r="E37">
        <v>0</v>
      </c>
      <c r="F37" s="11">
        <v>0</v>
      </c>
      <c r="G37" s="11">
        <v>6.6179000000000005E-10</v>
      </c>
      <c r="H37" s="11">
        <v>0</v>
      </c>
    </row>
    <row r="38" spans="2:8" x14ac:dyDescent="0.25">
      <c r="B38">
        <v>28</v>
      </c>
      <c r="C38" s="11">
        <v>28</v>
      </c>
      <c r="D38">
        <v>363</v>
      </c>
      <c r="E38">
        <v>0</v>
      </c>
      <c r="F38" s="11">
        <v>0</v>
      </c>
      <c r="G38" s="11">
        <v>6.7676000000000005E-10</v>
      </c>
      <c r="H38" s="11">
        <v>0</v>
      </c>
    </row>
    <row r="39" spans="2:8" x14ac:dyDescent="0.25">
      <c r="B39">
        <v>29</v>
      </c>
      <c r="C39" s="11">
        <v>29</v>
      </c>
      <c r="D39">
        <v>361</v>
      </c>
      <c r="E39">
        <v>-1</v>
      </c>
      <c r="F39" s="11">
        <v>0</v>
      </c>
      <c r="G39" s="11">
        <v>6.6504999999999999E-10</v>
      </c>
      <c r="H39" s="11">
        <v>0</v>
      </c>
    </row>
    <row r="40" spans="2:8" x14ac:dyDescent="0.25">
      <c r="B40">
        <v>30</v>
      </c>
      <c r="C40" s="11">
        <v>30</v>
      </c>
      <c r="D40">
        <v>359</v>
      </c>
      <c r="E40">
        <v>0</v>
      </c>
      <c r="F40" s="11">
        <v>0</v>
      </c>
      <c r="G40" s="11">
        <v>6.5312000000000002E-10</v>
      </c>
      <c r="H40" s="11">
        <v>0</v>
      </c>
    </row>
    <row r="41" spans="2:8" x14ac:dyDescent="0.25">
      <c r="B41">
        <v>31</v>
      </c>
      <c r="C41" s="11">
        <v>31</v>
      </c>
      <c r="D41">
        <v>357</v>
      </c>
      <c r="E41">
        <v>0</v>
      </c>
      <c r="F41" s="11">
        <v>0</v>
      </c>
      <c r="G41" s="11">
        <v>6.6199999999999999E-10</v>
      </c>
      <c r="H41" s="11">
        <v>0</v>
      </c>
    </row>
    <row r="42" spans="2:8" x14ac:dyDescent="0.25">
      <c r="B42">
        <v>32</v>
      </c>
      <c r="C42" s="11">
        <v>32</v>
      </c>
      <c r="D42">
        <v>355</v>
      </c>
      <c r="E42">
        <v>0</v>
      </c>
      <c r="F42" s="11">
        <v>0</v>
      </c>
      <c r="G42" s="11">
        <v>6.4672000000000002E-10</v>
      </c>
      <c r="H42" s="11">
        <v>0</v>
      </c>
    </row>
    <row r="43" spans="2:8" x14ac:dyDescent="0.25">
      <c r="B43">
        <v>33</v>
      </c>
      <c r="C43" s="11">
        <v>33</v>
      </c>
      <c r="D43">
        <v>353</v>
      </c>
      <c r="E43">
        <v>0</v>
      </c>
      <c r="F43" s="11">
        <v>0</v>
      </c>
      <c r="G43" s="11">
        <v>6.4286999999999997E-10</v>
      </c>
      <c r="H43" s="11">
        <v>0</v>
      </c>
    </row>
    <row r="44" spans="2:8" x14ac:dyDescent="0.25">
      <c r="B44">
        <v>34</v>
      </c>
      <c r="C44" s="11">
        <v>34</v>
      </c>
      <c r="D44">
        <v>351</v>
      </c>
      <c r="E44">
        <v>0</v>
      </c>
      <c r="F44" s="11">
        <v>0</v>
      </c>
      <c r="G44" s="11">
        <v>6.2261999999999997E-10</v>
      </c>
      <c r="H44" s="11">
        <v>0</v>
      </c>
    </row>
    <row r="45" spans="2:8" x14ac:dyDescent="0.25">
      <c r="B45">
        <v>35</v>
      </c>
      <c r="C45" s="11">
        <v>35</v>
      </c>
      <c r="D45">
        <v>349</v>
      </c>
      <c r="E45">
        <v>0</v>
      </c>
      <c r="F45" s="11">
        <v>0</v>
      </c>
      <c r="G45" s="11">
        <v>6.1150000000000001E-10</v>
      </c>
      <c r="H45" s="11">
        <v>0</v>
      </c>
    </row>
    <row r="46" spans="2:8" x14ac:dyDescent="0.25">
      <c r="B46">
        <v>36</v>
      </c>
      <c r="C46" s="11">
        <v>36</v>
      </c>
      <c r="D46">
        <v>347</v>
      </c>
      <c r="E46">
        <v>-1</v>
      </c>
      <c r="F46" s="11">
        <v>0</v>
      </c>
      <c r="G46" s="11">
        <v>6.0855000000000003E-10</v>
      </c>
      <c r="H46" s="11">
        <v>0</v>
      </c>
    </row>
    <row r="47" spans="2:8" x14ac:dyDescent="0.25">
      <c r="B47">
        <v>37</v>
      </c>
      <c r="C47" s="11">
        <v>37</v>
      </c>
      <c r="D47">
        <v>345</v>
      </c>
      <c r="E47">
        <v>0</v>
      </c>
      <c r="F47" s="11">
        <v>0</v>
      </c>
      <c r="G47" s="11">
        <v>5.9325999999999998E-10</v>
      </c>
      <c r="H47" s="11">
        <v>0</v>
      </c>
    </row>
    <row r="48" spans="2:8" x14ac:dyDescent="0.25">
      <c r="B48">
        <v>38</v>
      </c>
      <c r="C48" s="11">
        <v>38</v>
      </c>
      <c r="D48">
        <v>343</v>
      </c>
      <c r="E48">
        <v>0</v>
      </c>
      <c r="F48" s="11">
        <v>0</v>
      </c>
      <c r="G48" s="11">
        <v>5.9884999999999995E-10</v>
      </c>
      <c r="H48" s="11">
        <v>0</v>
      </c>
    </row>
    <row r="49" spans="2:8" x14ac:dyDescent="0.25">
      <c r="B49">
        <v>39</v>
      </c>
      <c r="C49" s="11">
        <v>39</v>
      </c>
      <c r="D49">
        <v>341</v>
      </c>
      <c r="E49">
        <v>-1</v>
      </c>
      <c r="F49" s="11">
        <v>0</v>
      </c>
      <c r="G49" s="11">
        <v>5.9055999999999997E-10</v>
      </c>
      <c r="H49" s="11">
        <v>0</v>
      </c>
    </row>
    <row r="50" spans="2:8" x14ac:dyDescent="0.25">
      <c r="B50">
        <v>40</v>
      </c>
      <c r="C50" s="11">
        <v>40</v>
      </c>
      <c r="D50">
        <v>339</v>
      </c>
      <c r="E50">
        <v>-1</v>
      </c>
      <c r="F50" s="11">
        <v>0</v>
      </c>
      <c r="G50" s="11">
        <v>5.9155999999999997E-10</v>
      </c>
      <c r="H50" s="11">
        <v>0</v>
      </c>
    </row>
    <row r="51" spans="2:8" x14ac:dyDescent="0.25">
      <c r="B51">
        <v>41</v>
      </c>
      <c r="C51" s="11">
        <v>41</v>
      </c>
      <c r="D51">
        <v>337</v>
      </c>
      <c r="E51">
        <v>-1</v>
      </c>
      <c r="F51" s="11">
        <v>0</v>
      </c>
      <c r="G51" s="11">
        <v>5.9279999999999996E-10</v>
      </c>
      <c r="H51" s="11">
        <v>0</v>
      </c>
    </row>
    <row r="52" spans="2:8" x14ac:dyDescent="0.25">
      <c r="B52">
        <v>42</v>
      </c>
      <c r="C52" s="11">
        <v>42</v>
      </c>
      <c r="D52">
        <v>335</v>
      </c>
      <c r="E52">
        <v>-1</v>
      </c>
      <c r="F52" s="11">
        <v>0</v>
      </c>
      <c r="G52" s="11">
        <v>5.9387000000000004E-10</v>
      </c>
      <c r="H52" s="11">
        <v>0</v>
      </c>
    </row>
    <row r="53" spans="2:8" x14ac:dyDescent="0.25">
      <c r="B53">
        <v>43</v>
      </c>
      <c r="C53" s="11">
        <v>43</v>
      </c>
      <c r="D53">
        <v>333</v>
      </c>
      <c r="E53">
        <v>0</v>
      </c>
      <c r="F53" s="11">
        <v>0</v>
      </c>
      <c r="G53" s="11">
        <v>5.9510000000000004E-10</v>
      </c>
      <c r="H53" s="11">
        <v>0</v>
      </c>
    </row>
    <row r="54" spans="2:8" x14ac:dyDescent="0.25">
      <c r="B54">
        <v>44</v>
      </c>
      <c r="C54" s="11">
        <v>44</v>
      </c>
      <c r="D54">
        <v>331</v>
      </c>
      <c r="E54">
        <v>0</v>
      </c>
      <c r="F54" s="11">
        <v>0</v>
      </c>
      <c r="G54" s="11">
        <v>5.8635000000000005E-10</v>
      </c>
      <c r="H54" s="11">
        <v>0</v>
      </c>
    </row>
    <row r="55" spans="2:8" x14ac:dyDescent="0.25">
      <c r="B55">
        <v>45</v>
      </c>
      <c r="C55" s="11">
        <v>45</v>
      </c>
      <c r="D55">
        <v>329</v>
      </c>
      <c r="E55">
        <v>0</v>
      </c>
      <c r="F55" s="11">
        <v>0</v>
      </c>
      <c r="G55" s="11">
        <v>5.8817000000000005E-10</v>
      </c>
      <c r="H55" s="11">
        <v>0</v>
      </c>
    </row>
    <row r="56" spans="2:8" x14ac:dyDescent="0.25">
      <c r="B56">
        <v>46</v>
      </c>
      <c r="C56" s="11">
        <v>46</v>
      </c>
      <c r="D56">
        <v>327</v>
      </c>
      <c r="E56">
        <v>0</v>
      </c>
      <c r="F56" s="11">
        <v>0</v>
      </c>
      <c r="G56" s="11">
        <v>5.7960000000000005E-10</v>
      </c>
      <c r="H56" s="11">
        <v>0</v>
      </c>
    </row>
    <row r="57" spans="2:8" x14ac:dyDescent="0.25">
      <c r="B57">
        <v>47</v>
      </c>
      <c r="C57" s="11">
        <v>47</v>
      </c>
      <c r="D57">
        <v>325</v>
      </c>
      <c r="E57">
        <v>0</v>
      </c>
      <c r="F57" s="11">
        <v>0</v>
      </c>
      <c r="G57" s="11">
        <v>5.7559999999999996E-10</v>
      </c>
      <c r="H57" s="11">
        <v>0</v>
      </c>
    </row>
    <row r="58" spans="2:8" x14ac:dyDescent="0.25">
      <c r="B58">
        <v>48</v>
      </c>
      <c r="C58" s="11">
        <v>48</v>
      </c>
      <c r="D58">
        <v>323</v>
      </c>
      <c r="E58">
        <v>0</v>
      </c>
      <c r="F58" s="11">
        <v>0</v>
      </c>
      <c r="G58" s="11">
        <v>5.8140999999999996E-10</v>
      </c>
      <c r="H58" s="11">
        <v>0</v>
      </c>
    </row>
    <row r="59" spans="2:8" x14ac:dyDescent="0.25">
      <c r="B59">
        <v>49</v>
      </c>
      <c r="C59" s="11">
        <v>49</v>
      </c>
      <c r="D59">
        <v>321</v>
      </c>
      <c r="E59">
        <v>0</v>
      </c>
      <c r="F59" s="11">
        <v>0</v>
      </c>
      <c r="G59" s="11">
        <v>5.8507000000000003E-10</v>
      </c>
      <c r="H59" s="11">
        <v>0</v>
      </c>
    </row>
    <row r="60" spans="2:8" x14ac:dyDescent="0.25">
      <c r="B60">
        <v>50</v>
      </c>
      <c r="C60" s="11">
        <v>50</v>
      </c>
      <c r="D60">
        <v>319</v>
      </c>
      <c r="E60">
        <v>-1</v>
      </c>
      <c r="F60" s="11">
        <v>0</v>
      </c>
      <c r="G60" s="11">
        <v>5.8164999999999995E-10</v>
      </c>
      <c r="H60" s="11">
        <v>0</v>
      </c>
    </row>
    <row r="61" spans="2:8" x14ac:dyDescent="0.25">
      <c r="B61">
        <v>51</v>
      </c>
      <c r="C61" s="11">
        <v>51</v>
      </c>
      <c r="D61">
        <v>317</v>
      </c>
      <c r="E61">
        <v>0</v>
      </c>
      <c r="F61" s="11">
        <v>0</v>
      </c>
      <c r="G61" s="11">
        <v>5.8244000000000001E-10</v>
      </c>
      <c r="H61" s="11">
        <v>0</v>
      </c>
    </row>
    <row r="62" spans="2:8" x14ac:dyDescent="0.25">
      <c r="B62">
        <v>52</v>
      </c>
      <c r="C62" s="11">
        <v>52</v>
      </c>
      <c r="D62">
        <v>315</v>
      </c>
      <c r="E62">
        <v>-1</v>
      </c>
      <c r="F62" s="11">
        <v>0</v>
      </c>
      <c r="G62" s="11">
        <v>5.8627999999999996E-10</v>
      </c>
      <c r="H62" s="11">
        <v>0</v>
      </c>
    </row>
    <row r="63" spans="2:8" x14ac:dyDescent="0.25">
      <c r="B63">
        <v>53</v>
      </c>
      <c r="C63" s="11">
        <v>53</v>
      </c>
      <c r="D63">
        <v>313</v>
      </c>
      <c r="E63">
        <v>-1</v>
      </c>
      <c r="F63" s="11">
        <v>0</v>
      </c>
      <c r="G63" s="11">
        <v>5.7880999999999999E-10</v>
      </c>
      <c r="H63" s="11">
        <v>0</v>
      </c>
    </row>
    <row r="64" spans="2:8" x14ac:dyDescent="0.25">
      <c r="B64">
        <v>54</v>
      </c>
      <c r="C64" s="11">
        <v>54</v>
      </c>
      <c r="D64">
        <v>311</v>
      </c>
      <c r="E64">
        <v>-1</v>
      </c>
      <c r="F64" s="11">
        <v>0</v>
      </c>
      <c r="G64" s="11">
        <v>5.8342000000000004E-10</v>
      </c>
      <c r="H64" s="11">
        <v>0</v>
      </c>
    </row>
    <row r="65" spans="2:8" x14ac:dyDescent="0.25">
      <c r="B65">
        <v>55</v>
      </c>
      <c r="C65" s="11">
        <v>55</v>
      </c>
      <c r="D65">
        <v>309</v>
      </c>
      <c r="E65">
        <v>-1</v>
      </c>
      <c r="F65" s="11">
        <v>0</v>
      </c>
      <c r="G65" s="11">
        <v>5.8668999999999997E-10</v>
      </c>
      <c r="H65" s="11">
        <v>0</v>
      </c>
    </row>
    <row r="66" spans="2:8" x14ac:dyDescent="0.25">
      <c r="B66">
        <v>56</v>
      </c>
      <c r="C66" s="11">
        <v>56</v>
      </c>
      <c r="D66">
        <v>307</v>
      </c>
      <c r="E66">
        <v>-1</v>
      </c>
      <c r="F66" s="11">
        <v>0</v>
      </c>
      <c r="G66" s="11">
        <v>5.8196000000000003E-10</v>
      </c>
      <c r="H66" s="11">
        <v>0</v>
      </c>
    </row>
    <row r="67" spans="2:8" x14ac:dyDescent="0.25">
      <c r="B67">
        <v>57</v>
      </c>
      <c r="C67" s="11">
        <v>57</v>
      </c>
      <c r="D67">
        <v>305</v>
      </c>
      <c r="E67">
        <v>-1</v>
      </c>
      <c r="F67" s="11">
        <v>0</v>
      </c>
      <c r="G67" s="11">
        <v>5.8214000000000002E-10</v>
      </c>
      <c r="H67" s="11">
        <v>0</v>
      </c>
    </row>
    <row r="68" spans="2:8" x14ac:dyDescent="0.25">
      <c r="B68">
        <v>58</v>
      </c>
      <c r="C68" s="11">
        <v>58</v>
      </c>
      <c r="D68">
        <v>303</v>
      </c>
      <c r="E68">
        <v>-1</v>
      </c>
      <c r="F68" s="11">
        <v>0</v>
      </c>
      <c r="G68" s="11">
        <v>5.8771000000000003E-10</v>
      </c>
      <c r="H68" s="11">
        <v>0</v>
      </c>
    </row>
    <row r="69" spans="2:8" x14ac:dyDescent="0.25">
      <c r="B69">
        <v>59</v>
      </c>
      <c r="C69" s="11">
        <v>59</v>
      </c>
      <c r="D69">
        <v>301</v>
      </c>
      <c r="E69">
        <v>-1</v>
      </c>
      <c r="F69" s="11">
        <v>0</v>
      </c>
      <c r="G69" s="11">
        <v>5.8541000000000005E-10</v>
      </c>
      <c r="H69" s="11">
        <v>0</v>
      </c>
    </row>
    <row r="70" spans="2:8" x14ac:dyDescent="0.25">
      <c r="B70">
        <v>60</v>
      </c>
      <c r="C70" s="11">
        <v>60</v>
      </c>
      <c r="D70">
        <v>299</v>
      </c>
      <c r="E70">
        <v>-1</v>
      </c>
      <c r="F70" s="11">
        <v>0</v>
      </c>
      <c r="G70" s="11">
        <v>5.8328999999999996E-10</v>
      </c>
      <c r="H70" s="11">
        <v>0</v>
      </c>
    </row>
    <row r="71" spans="2:8" x14ac:dyDescent="0.25">
      <c r="B71">
        <v>61</v>
      </c>
      <c r="C71" s="11">
        <v>61</v>
      </c>
      <c r="D71">
        <v>297</v>
      </c>
      <c r="E71">
        <v>-1</v>
      </c>
      <c r="F71" s="11">
        <v>0</v>
      </c>
      <c r="G71" s="11">
        <v>5.8926999999999997E-10</v>
      </c>
      <c r="H71" s="11">
        <v>0</v>
      </c>
    </row>
    <row r="72" spans="2:8" x14ac:dyDescent="0.25">
      <c r="B72">
        <v>62</v>
      </c>
      <c r="C72" s="11">
        <v>62</v>
      </c>
      <c r="D72">
        <v>295</v>
      </c>
      <c r="E72">
        <v>-1</v>
      </c>
      <c r="F72" s="11">
        <v>0</v>
      </c>
      <c r="G72" s="11">
        <v>5.8942000000000002E-10</v>
      </c>
      <c r="H72" s="11">
        <v>0</v>
      </c>
    </row>
    <row r="73" spans="2:8" x14ac:dyDescent="0.25">
      <c r="B73">
        <v>63</v>
      </c>
      <c r="C73" s="11">
        <v>63</v>
      </c>
      <c r="D73">
        <v>293</v>
      </c>
      <c r="E73">
        <v>-1</v>
      </c>
      <c r="F73" s="11">
        <v>0</v>
      </c>
      <c r="G73" s="11">
        <v>5.8291000000000001E-10</v>
      </c>
      <c r="H73" s="11">
        <v>0</v>
      </c>
    </row>
    <row r="74" spans="2:8" x14ac:dyDescent="0.25">
      <c r="B74">
        <v>64</v>
      </c>
      <c r="C74" s="11">
        <v>64</v>
      </c>
      <c r="D74">
        <v>291</v>
      </c>
      <c r="E74">
        <v>-1</v>
      </c>
      <c r="F74" s="11">
        <v>0</v>
      </c>
      <c r="G74" s="11">
        <v>5.8455000000000001E-10</v>
      </c>
      <c r="H74" s="11">
        <v>0</v>
      </c>
    </row>
    <row r="75" spans="2:8" x14ac:dyDescent="0.25">
      <c r="B75">
        <v>65</v>
      </c>
      <c r="C75" s="11">
        <v>65</v>
      </c>
      <c r="D75">
        <v>289</v>
      </c>
      <c r="E75">
        <v>-1</v>
      </c>
      <c r="F75" s="11">
        <v>0</v>
      </c>
      <c r="G75" s="11">
        <v>5.9301999999999998E-10</v>
      </c>
      <c r="H75" s="11">
        <v>0</v>
      </c>
    </row>
    <row r="76" spans="2:8" x14ac:dyDescent="0.25">
      <c r="B76">
        <v>66</v>
      </c>
      <c r="C76" s="11">
        <v>66</v>
      </c>
      <c r="D76">
        <v>287</v>
      </c>
      <c r="E76">
        <v>-1</v>
      </c>
      <c r="F76" s="11">
        <v>0</v>
      </c>
      <c r="G76" s="11">
        <v>5.8723000000000005E-10</v>
      </c>
      <c r="H76" s="11">
        <v>0</v>
      </c>
    </row>
    <row r="77" spans="2:8" x14ac:dyDescent="0.25">
      <c r="B77">
        <v>67</v>
      </c>
      <c r="C77" s="11">
        <v>67</v>
      </c>
      <c r="D77">
        <v>285</v>
      </c>
      <c r="E77">
        <v>-1</v>
      </c>
      <c r="F77" s="11">
        <v>0</v>
      </c>
      <c r="G77" s="11">
        <v>5.8795000000000002E-10</v>
      </c>
      <c r="H77" s="11">
        <v>0</v>
      </c>
    </row>
    <row r="78" spans="2:8" x14ac:dyDescent="0.25">
      <c r="B78">
        <v>68</v>
      </c>
      <c r="C78" s="11">
        <v>68</v>
      </c>
      <c r="D78">
        <v>283</v>
      </c>
      <c r="E78">
        <v>-1</v>
      </c>
      <c r="F78" s="11">
        <v>0</v>
      </c>
      <c r="G78" s="11">
        <v>5.9719999999999996E-10</v>
      </c>
      <c r="H78" s="11">
        <v>0</v>
      </c>
    </row>
    <row r="79" spans="2:8" x14ac:dyDescent="0.25">
      <c r="B79">
        <v>69</v>
      </c>
      <c r="C79" s="11">
        <v>69</v>
      </c>
      <c r="D79">
        <v>281</v>
      </c>
      <c r="E79">
        <v>-1</v>
      </c>
      <c r="F79" s="11">
        <v>0</v>
      </c>
      <c r="G79" s="11">
        <v>5.9070000000000004E-10</v>
      </c>
      <c r="H79" s="11">
        <v>0</v>
      </c>
    </row>
    <row r="80" spans="2:8" x14ac:dyDescent="0.25">
      <c r="B80">
        <v>70</v>
      </c>
      <c r="C80" s="11">
        <v>70</v>
      </c>
      <c r="D80">
        <v>279</v>
      </c>
      <c r="E80">
        <v>-1</v>
      </c>
      <c r="F80" s="11">
        <v>0</v>
      </c>
      <c r="G80" s="11">
        <v>5.9226999999999996E-10</v>
      </c>
      <c r="H80" s="11">
        <v>0</v>
      </c>
    </row>
    <row r="81" spans="2:8" x14ac:dyDescent="0.25">
      <c r="B81">
        <v>71</v>
      </c>
      <c r="C81" s="11">
        <v>71</v>
      </c>
      <c r="D81">
        <v>277</v>
      </c>
      <c r="E81">
        <v>-1</v>
      </c>
      <c r="F81" s="11">
        <v>0</v>
      </c>
      <c r="G81" s="11">
        <v>5.9743999999999996E-10</v>
      </c>
      <c r="H81" s="11">
        <v>0</v>
      </c>
    </row>
    <row r="82" spans="2:8" x14ac:dyDescent="0.25">
      <c r="B82">
        <v>73</v>
      </c>
      <c r="C82" s="11">
        <v>73</v>
      </c>
      <c r="D82">
        <v>273</v>
      </c>
      <c r="E82">
        <v>-1</v>
      </c>
      <c r="F82" s="11">
        <v>0</v>
      </c>
      <c r="G82" s="11">
        <v>5.9602999999999996E-10</v>
      </c>
      <c r="H82" s="11">
        <v>0</v>
      </c>
    </row>
    <row r="83" spans="2:8" x14ac:dyDescent="0.25">
      <c r="B83">
        <v>75</v>
      </c>
      <c r="C83" s="11">
        <v>75</v>
      </c>
      <c r="D83">
        <v>269</v>
      </c>
      <c r="E83">
        <v>-1</v>
      </c>
      <c r="F83" s="11">
        <v>0</v>
      </c>
      <c r="G83" s="11">
        <v>6.0585000000000003E-10</v>
      </c>
      <c r="H83" s="11">
        <v>0</v>
      </c>
    </row>
    <row r="84" spans="2:8" x14ac:dyDescent="0.25">
      <c r="B84">
        <v>77</v>
      </c>
      <c r="C84" s="11">
        <v>77</v>
      </c>
      <c r="D84">
        <v>265</v>
      </c>
      <c r="E84">
        <v>-1</v>
      </c>
      <c r="F84" s="11">
        <v>0</v>
      </c>
      <c r="G84" s="11">
        <v>6.0418999999999996E-10</v>
      </c>
      <c r="H84" s="11">
        <v>0</v>
      </c>
    </row>
    <row r="85" spans="2:8" x14ac:dyDescent="0.25">
      <c r="B85">
        <v>79</v>
      </c>
      <c r="C85" s="11">
        <v>79</v>
      </c>
      <c r="D85">
        <v>261</v>
      </c>
      <c r="E85">
        <v>-1</v>
      </c>
      <c r="F85" s="11">
        <v>0</v>
      </c>
      <c r="G85" s="11">
        <v>6.0640999999999998E-10</v>
      </c>
      <c r="H85" s="11">
        <v>0</v>
      </c>
    </row>
    <row r="86" spans="2:8" x14ac:dyDescent="0.25">
      <c r="B86">
        <v>81</v>
      </c>
      <c r="C86" s="11">
        <v>81</v>
      </c>
      <c r="D86">
        <v>257</v>
      </c>
      <c r="E86">
        <v>-1</v>
      </c>
      <c r="F86" s="11">
        <v>0</v>
      </c>
      <c r="G86" s="11">
        <v>6.0939E-10</v>
      </c>
      <c r="H86" s="11">
        <v>0</v>
      </c>
    </row>
    <row r="87" spans="2:8" x14ac:dyDescent="0.25">
      <c r="B87">
        <v>83</v>
      </c>
      <c r="C87" s="11">
        <v>83</v>
      </c>
      <c r="D87">
        <v>253</v>
      </c>
      <c r="E87">
        <v>-1</v>
      </c>
      <c r="F87" s="11">
        <v>0</v>
      </c>
      <c r="G87" s="11">
        <v>6.0624999999999995E-10</v>
      </c>
      <c r="H87" s="11">
        <v>0</v>
      </c>
    </row>
    <row r="88" spans="2:8" x14ac:dyDescent="0.25">
      <c r="B88">
        <v>85</v>
      </c>
      <c r="C88" s="11">
        <v>85</v>
      </c>
      <c r="D88">
        <v>249</v>
      </c>
      <c r="E88">
        <v>-1</v>
      </c>
      <c r="F88" s="11">
        <v>0</v>
      </c>
      <c r="G88" s="11">
        <v>6.1453000000000005E-10</v>
      </c>
      <c r="H88" s="11">
        <v>0</v>
      </c>
    </row>
    <row r="89" spans="2:8" x14ac:dyDescent="0.25">
      <c r="B89">
        <v>87</v>
      </c>
      <c r="C89" s="11">
        <v>87</v>
      </c>
      <c r="D89">
        <v>245</v>
      </c>
      <c r="E89">
        <v>-1</v>
      </c>
      <c r="F89" s="11">
        <v>0</v>
      </c>
      <c r="G89" s="11">
        <v>6.1785999999999997E-10</v>
      </c>
      <c r="H89" s="11">
        <v>0</v>
      </c>
    </row>
    <row r="90" spans="2:8" x14ac:dyDescent="0.25">
      <c r="B90">
        <v>89</v>
      </c>
      <c r="C90" s="11">
        <v>89</v>
      </c>
      <c r="D90">
        <v>241</v>
      </c>
      <c r="E90">
        <v>-1</v>
      </c>
      <c r="F90" s="11">
        <v>0</v>
      </c>
      <c r="G90" s="11">
        <v>6.1886999999999995E-10</v>
      </c>
      <c r="H90" s="11">
        <v>0</v>
      </c>
    </row>
    <row r="91" spans="2:8" x14ac:dyDescent="0.25">
      <c r="B91">
        <v>91</v>
      </c>
      <c r="C91" s="11">
        <v>91</v>
      </c>
      <c r="D91">
        <v>237</v>
      </c>
      <c r="E91">
        <v>-1</v>
      </c>
      <c r="F91" s="11">
        <v>0</v>
      </c>
      <c r="G91" s="11">
        <v>6.2534000000000003E-10</v>
      </c>
      <c r="H91" s="11">
        <v>0</v>
      </c>
    </row>
    <row r="92" spans="2:8" x14ac:dyDescent="0.25">
      <c r="B92">
        <v>93</v>
      </c>
      <c r="C92" s="11">
        <v>93</v>
      </c>
      <c r="D92">
        <v>233</v>
      </c>
      <c r="E92">
        <v>-1</v>
      </c>
      <c r="F92" s="11">
        <v>0</v>
      </c>
      <c r="G92" s="11">
        <v>6.2577E-10</v>
      </c>
      <c r="H92" s="11">
        <v>0</v>
      </c>
    </row>
    <row r="93" spans="2:8" x14ac:dyDescent="0.25">
      <c r="B93">
        <v>95</v>
      </c>
      <c r="C93" s="11">
        <v>95</v>
      </c>
      <c r="D93">
        <v>229</v>
      </c>
      <c r="E93">
        <v>-1</v>
      </c>
      <c r="F93" s="11">
        <v>0</v>
      </c>
      <c r="G93" s="11">
        <v>6.3259999999999997E-10</v>
      </c>
      <c r="H93" s="11">
        <v>0</v>
      </c>
    </row>
    <row r="94" spans="2:8" x14ac:dyDescent="0.25">
      <c r="B94">
        <v>97</v>
      </c>
      <c r="C94" s="11">
        <v>97</v>
      </c>
      <c r="D94">
        <v>225</v>
      </c>
      <c r="E94">
        <v>-1</v>
      </c>
      <c r="F94" s="11">
        <v>0</v>
      </c>
      <c r="G94" s="11">
        <v>6.3608000000000004E-10</v>
      </c>
      <c r="H94" s="11">
        <v>0</v>
      </c>
    </row>
    <row r="95" spans="2:8" x14ac:dyDescent="0.25">
      <c r="B95">
        <v>99</v>
      </c>
      <c r="C95" s="11">
        <v>99</v>
      </c>
      <c r="D95">
        <v>221</v>
      </c>
      <c r="E95">
        <v>-1</v>
      </c>
      <c r="F95" s="11">
        <v>0</v>
      </c>
      <c r="G95" s="11">
        <v>6.3966000000000004E-10</v>
      </c>
      <c r="H95" s="11">
        <v>0</v>
      </c>
    </row>
    <row r="96" spans="2:8" x14ac:dyDescent="0.25">
      <c r="B96">
        <v>101</v>
      </c>
      <c r="C96" s="11">
        <v>101</v>
      </c>
      <c r="D96">
        <v>217</v>
      </c>
      <c r="E96">
        <v>-1</v>
      </c>
      <c r="F96" s="11">
        <v>0</v>
      </c>
      <c r="G96" s="11">
        <v>6.4339999999999997E-10</v>
      </c>
      <c r="H96" s="11">
        <v>0</v>
      </c>
    </row>
    <row r="97" spans="2:8" x14ac:dyDescent="0.25">
      <c r="B97">
        <v>103</v>
      </c>
      <c r="C97" s="11">
        <v>103</v>
      </c>
      <c r="D97">
        <v>213</v>
      </c>
      <c r="E97">
        <v>-1</v>
      </c>
      <c r="F97" s="11">
        <v>0</v>
      </c>
      <c r="G97" s="11">
        <v>6.4224000000000005E-10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2.9997539999999999E-4</v>
      </c>
    </row>
    <row r="4" spans="2:12" x14ac:dyDescent="0.25">
      <c r="B4" t="s">
        <v>29</v>
      </c>
      <c r="C4" t="s">
        <v>28</v>
      </c>
      <c r="D4" s="11">
        <v>2.9991129999999998E-4</v>
      </c>
    </row>
    <row r="5" spans="2:12" x14ac:dyDescent="0.25">
      <c r="B5" t="s">
        <v>30</v>
      </c>
      <c r="C5" t="s">
        <v>28</v>
      </c>
      <c r="D5" s="11">
        <v>2.9994510000000001E-4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1.1392E-8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0</v>
      </c>
      <c r="F12" s="11">
        <v>0</v>
      </c>
      <c r="G12" s="11">
        <v>6.1309999999999996E-9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0</v>
      </c>
      <c r="F13" s="11">
        <v>0</v>
      </c>
      <c r="G13" s="11">
        <v>3.6278999999999998E-9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0</v>
      </c>
      <c r="F14" s="11">
        <v>0</v>
      </c>
      <c r="G14" s="11">
        <v>3.5663E-9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0</v>
      </c>
      <c r="F15" s="11">
        <v>0</v>
      </c>
      <c r="G15" s="11">
        <v>3.2828999999999999E-9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-1</v>
      </c>
      <c r="F16" s="11">
        <v>0</v>
      </c>
      <c r="G16" s="11">
        <v>2.8160999999999998E-9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-1</v>
      </c>
      <c r="F17" s="11">
        <v>0</v>
      </c>
      <c r="G17" s="11">
        <v>2.5985000000000001E-9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-2</v>
      </c>
      <c r="F18" s="11">
        <v>0</v>
      </c>
      <c r="G18" s="11">
        <v>2.7458000000000002E-9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-1</v>
      </c>
      <c r="F19" s="11">
        <v>0</v>
      </c>
      <c r="G19" s="11">
        <v>2.5812000000000001E-9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-1</v>
      </c>
      <c r="F20" s="11">
        <v>0</v>
      </c>
      <c r="G20" s="11">
        <v>2.4878E-9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0</v>
      </c>
      <c r="F21" s="11">
        <v>0</v>
      </c>
      <c r="G21" s="11">
        <v>2.5473000000000001E-9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-2</v>
      </c>
      <c r="F22" s="11">
        <v>0</v>
      </c>
      <c r="G22" s="11">
        <v>2.4916E-9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2.4344000000000002E-9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2.4657999999999999E-9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2.4880000000000001E-9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2.5008999999999999E-9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2.5175E-9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2.5346999999999999E-9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2.5450999999999998E-9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2.5337E-9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2.5351000000000001E-9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2.5354000000000002E-9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2.5113999999999998E-9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2.4927999999999999E-9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2.4760000000000001E-9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2.4431E-9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2.4134E-9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-1</v>
      </c>
      <c r="F38" s="11">
        <v>0</v>
      </c>
      <c r="G38" s="11">
        <v>2.3802000000000001E-9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2.3374999999999998E-9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2.2876999999999999E-9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2.2400000000000001E-9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2.1913000000000001E-9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2.1453E-9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-1</v>
      </c>
      <c r="F44" s="11">
        <v>0</v>
      </c>
      <c r="G44" s="11">
        <v>2.1038000000000001E-9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2.0669E-9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2.0298000000000002E-9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1.9917000000000001E-9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1.9638000000000002E-9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1.9346999999999999E-9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1.9084000000000002E-9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1.8870000000000002E-9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1.8692000000000001E-9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1.8576999999999999E-9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1.8466E-9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1.8425E-9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1.8355999999999999E-9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1.8320999999999999E-9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1.8346000000000001E-9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1.8327000000000001E-9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1.8328999999999999E-9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1.8354999999999999E-9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1.8388000000000001E-9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1.8375999999999999E-9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1.839E-9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1.8414000000000001E-9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1.8395999999999999E-9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1.8425E-9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1.8438E-9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1.8425E-9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1.8415999999999999E-9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1.8435999999999999E-9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1.8432E-9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1.8401000000000001E-9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1.8408000000000001E-9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1.8394000000000001E-9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1.8387000000000001E-9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1.8385E-9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1.8398E-9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1.839E-9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1.8379E-9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1.8399E-9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1.8395999999999999E-9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1.8448999999999999E-9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1.8489000000000001E-9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1.8528000000000001E-9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1.8556000000000001E-9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1.8494E-9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1.8371E-9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1.8172999999999999E-9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1.7948E-9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1.7745E-9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1.7532999999999999E-9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1.7329999999999999E-9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1.7154999999999999E-9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1.6984E-9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1.6843000000000001E-9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1.6716999999999999E-9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22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-3.0000719999999999E-4</v>
      </c>
    </row>
    <row r="4" spans="2:12" x14ac:dyDescent="0.25">
      <c r="B4" t="s">
        <v>29</v>
      </c>
      <c r="C4" t="s">
        <v>28</v>
      </c>
      <c r="D4" s="11">
        <v>-3.0006450000000001E-4</v>
      </c>
    </row>
    <row r="5" spans="2:12" x14ac:dyDescent="0.25">
      <c r="B5" t="s">
        <v>30</v>
      </c>
      <c r="C5" t="s">
        <v>28</v>
      </c>
      <c r="D5" s="11">
        <v>-3.0003529999999998E-4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1.1868000000000001E-8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7.3792999999999999E-9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6.0976999999999997E-9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5.4543999999999997E-9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4.8224000000000002E-9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2</v>
      </c>
      <c r="F16" s="11">
        <v>0</v>
      </c>
      <c r="G16" s="11">
        <v>4.0517999999999996E-9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2</v>
      </c>
      <c r="F17" s="11">
        <v>0</v>
      </c>
      <c r="G17" s="11">
        <v>3.2859E-9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2.9310999999999999E-9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0</v>
      </c>
      <c r="F19" s="11">
        <v>0</v>
      </c>
      <c r="G19" s="11">
        <v>2.3599000000000001E-9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1.9865000000000001E-9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0</v>
      </c>
      <c r="F21" s="11">
        <v>0</v>
      </c>
      <c r="G21" s="11">
        <v>1.775E-9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1.6428E-9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1.4323999999999999E-9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1.4478999999999999E-9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1.4545999999999999E-9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1.3438000000000001E-9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1.3323E-9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1.3134E-9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1.2357E-9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1.1187000000000001E-9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1.0745E-9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1.0314E-9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1.0008999999999999E-9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-1</v>
      </c>
      <c r="F34" s="11">
        <v>0</v>
      </c>
      <c r="G34" s="11">
        <v>9.9484999999999993E-10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-1</v>
      </c>
      <c r="F35" s="11">
        <v>0</v>
      </c>
      <c r="G35" s="11">
        <v>9.838299999999999E-10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-1</v>
      </c>
      <c r="F36" s="11">
        <v>0</v>
      </c>
      <c r="G36" s="11">
        <v>9.2729999999999999E-10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8.7628999999999998E-10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8.7893999999999997E-10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-1</v>
      </c>
      <c r="F39" s="11">
        <v>0</v>
      </c>
      <c r="G39" s="11">
        <v>8.5180999999999998E-10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-1</v>
      </c>
      <c r="F40" s="11">
        <v>0</v>
      </c>
      <c r="G40" s="11">
        <v>8.0652000000000002E-10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7.9702E-10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-1</v>
      </c>
      <c r="F42" s="11">
        <v>0</v>
      </c>
      <c r="G42" s="11">
        <v>7.8110000000000002E-10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-1</v>
      </c>
      <c r="F43" s="11">
        <v>0</v>
      </c>
      <c r="G43" s="11">
        <v>7.3432E-10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7.0784999999999999E-10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-1</v>
      </c>
      <c r="F45" s="11">
        <v>0</v>
      </c>
      <c r="G45" s="11">
        <v>6.8542E-10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-1</v>
      </c>
      <c r="F46" s="11">
        <v>0</v>
      </c>
      <c r="G46" s="11">
        <v>6.5545000000000005E-10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-1</v>
      </c>
      <c r="F47" s="11">
        <v>0</v>
      </c>
      <c r="G47" s="11">
        <v>6.4879999999999997E-10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-1</v>
      </c>
      <c r="F48" s="11">
        <v>0</v>
      </c>
      <c r="G48" s="11">
        <v>6.5032999999999997E-10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6.5496999999999996E-10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-1</v>
      </c>
      <c r="F50" s="11">
        <v>0</v>
      </c>
      <c r="G50" s="11">
        <v>6.3780999999999999E-10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6.1491999999999998E-10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-1</v>
      </c>
      <c r="F52" s="11">
        <v>0</v>
      </c>
      <c r="G52" s="11">
        <v>5.9728000000000003E-10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-1</v>
      </c>
      <c r="F53" s="11">
        <v>0</v>
      </c>
      <c r="G53" s="11">
        <v>5.6622000000000004E-10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-1</v>
      </c>
      <c r="F54" s="11">
        <v>0</v>
      </c>
      <c r="G54" s="11">
        <v>5.5778000000000001E-10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-1</v>
      </c>
      <c r="F55" s="11">
        <v>0</v>
      </c>
      <c r="G55" s="11">
        <v>5.4610999999999999E-10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-1</v>
      </c>
      <c r="F56" s="11">
        <v>0</v>
      </c>
      <c r="G56" s="11">
        <v>5.3745000000000004E-10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-1</v>
      </c>
      <c r="F57" s="11">
        <v>0</v>
      </c>
      <c r="G57" s="11">
        <v>5.4450000000000003E-10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-1</v>
      </c>
      <c r="F58" s="11">
        <v>0</v>
      </c>
      <c r="G58" s="11">
        <v>5.5614999999999999E-10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5.5744999999999997E-10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-1</v>
      </c>
      <c r="F60" s="11">
        <v>0</v>
      </c>
      <c r="G60" s="11">
        <v>5.6165000000000002E-10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5.6391999999999995E-10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-1</v>
      </c>
      <c r="F62" s="11">
        <v>0</v>
      </c>
      <c r="G62" s="11">
        <v>5.5297999999999999E-10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-1</v>
      </c>
      <c r="F63" s="11">
        <v>0</v>
      </c>
      <c r="G63" s="11">
        <v>5.4903000000000002E-10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-1</v>
      </c>
      <c r="F64" s="11">
        <v>0</v>
      </c>
      <c r="G64" s="11">
        <v>5.4764999999999996E-10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-1</v>
      </c>
      <c r="F65" s="11">
        <v>0</v>
      </c>
      <c r="G65" s="11">
        <v>5.3627000000000005E-10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-1</v>
      </c>
      <c r="F66" s="11">
        <v>0</v>
      </c>
      <c r="G66" s="11">
        <v>5.0423000000000003E-10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-1</v>
      </c>
      <c r="F67" s="11">
        <v>0</v>
      </c>
      <c r="G67" s="11">
        <v>4.9035999999999995E-10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-1</v>
      </c>
      <c r="F68" s="11">
        <v>0</v>
      </c>
      <c r="G68" s="11">
        <v>4.8967000000000003E-10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-1</v>
      </c>
      <c r="F69" s="11">
        <v>0</v>
      </c>
      <c r="G69" s="11">
        <v>4.8354999999999995E-10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-1</v>
      </c>
      <c r="F70" s="11">
        <v>0</v>
      </c>
      <c r="G70" s="11">
        <v>4.9855999999999998E-10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-1</v>
      </c>
      <c r="F71" s="11">
        <v>0</v>
      </c>
      <c r="G71" s="11">
        <v>5.1095999999999996E-10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-1</v>
      </c>
      <c r="F72" s="11">
        <v>0</v>
      </c>
      <c r="G72" s="11">
        <v>5.1086000000000003E-10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-1</v>
      </c>
      <c r="F73" s="11">
        <v>0</v>
      </c>
      <c r="G73" s="11">
        <v>5.1252999999999999E-10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-1</v>
      </c>
      <c r="F74" s="11">
        <v>0</v>
      </c>
      <c r="G74" s="11">
        <v>5.1550000000000003E-10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-1</v>
      </c>
      <c r="F75" s="11">
        <v>0</v>
      </c>
      <c r="G75" s="11">
        <v>5.1088E-10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-1</v>
      </c>
      <c r="F76" s="11">
        <v>0</v>
      </c>
      <c r="G76" s="11">
        <v>4.9532999999999998E-10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-1</v>
      </c>
      <c r="F77" s="11">
        <v>0</v>
      </c>
      <c r="G77" s="11">
        <v>4.9150000000000001E-10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-1</v>
      </c>
      <c r="F78" s="11">
        <v>0</v>
      </c>
      <c r="G78" s="11">
        <v>4.8684000000000005E-10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-1</v>
      </c>
      <c r="F79" s="11">
        <v>0</v>
      </c>
      <c r="G79" s="11">
        <v>4.7793000000000002E-10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-1</v>
      </c>
      <c r="F80" s="11">
        <v>0</v>
      </c>
      <c r="G80" s="11">
        <v>4.7883999999999997E-10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-1</v>
      </c>
      <c r="F81" s="11">
        <v>0</v>
      </c>
      <c r="G81" s="11">
        <v>4.8314000000000005E-10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-1</v>
      </c>
      <c r="F82" s="11">
        <v>0</v>
      </c>
      <c r="G82" s="11">
        <v>4.8723999999999996E-10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-1</v>
      </c>
      <c r="F83" s="11">
        <v>0</v>
      </c>
      <c r="G83" s="11">
        <v>4.9578000000000002E-10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-1</v>
      </c>
      <c r="F84" s="11">
        <v>0</v>
      </c>
      <c r="G84" s="11">
        <v>4.9506000000000005E-10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-1</v>
      </c>
      <c r="F85" s="11">
        <v>0</v>
      </c>
      <c r="G85" s="11">
        <v>4.7394000000000002E-10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-1</v>
      </c>
      <c r="F86" s="11">
        <v>0</v>
      </c>
      <c r="G86" s="11">
        <v>4.7848999999999997E-10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-1</v>
      </c>
      <c r="F87" s="11">
        <v>0</v>
      </c>
      <c r="G87" s="11">
        <v>4.9144000000000001E-10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-1</v>
      </c>
      <c r="F88" s="11">
        <v>0</v>
      </c>
      <c r="G88" s="11">
        <v>4.8146000000000001E-10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-1</v>
      </c>
      <c r="F89" s="11">
        <v>0</v>
      </c>
      <c r="G89" s="11">
        <v>4.6127999999999998E-10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-1</v>
      </c>
      <c r="F90" s="11">
        <v>0</v>
      </c>
      <c r="G90" s="11">
        <v>4.6461999999999999E-10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-1</v>
      </c>
      <c r="F91" s="11">
        <v>0</v>
      </c>
      <c r="G91" s="11">
        <v>4.6514000000000001E-10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-1</v>
      </c>
      <c r="F92" s="11">
        <v>0</v>
      </c>
      <c r="G92" s="11">
        <v>4.7218000000000002E-10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-1</v>
      </c>
      <c r="F93" s="11">
        <v>0</v>
      </c>
      <c r="G93" s="11">
        <v>4.8217E-10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-1</v>
      </c>
      <c r="F94" s="11">
        <v>0</v>
      </c>
      <c r="G94" s="11">
        <v>4.7612999999999999E-10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-1</v>
      </c>
      <c r="F95" s="11">
        <v>0</v>
      </c>
      <c r="G95" s="11">
        <v>4.7693000000000003E-10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-1</v>
      </c>
      <c r="F96" s="11">
        <v>0</v>
      </c>
      <c r="G96" s="11">
        <v>4.8920000000000003E-10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-1</v>
      </c>
      <c r="F97" s="11">
        <v>0</v>
      </c>
      <c r="G97" s="11">
        <v>4.9901000000000002E-10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45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-3.0000680000000002E-4</v>
      </c>
    </row>
    <row r="4" spans="2:12" x14ac:dyDescent="0.25">
      <c r="B4" t="s">
        <v>29</v>
      </c>
      <c r="C4" t="s">
        <v>28</v>
      </c>
      <c r="D4" s="11">
        <v>-3.0006850000000002E-4</v>
      </c>
    </row>
    <row r="5" spans="2:12" x14ac:dyDescent="0.25">
      <c r="B5" t="s">
        <v>30</v>
      </c>
      <c r="C5" t="s">
        <v>28</v>
      </c>
      <c r="D5" s="11">
        <v>-3.0003659999999999E-4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0</v>
      </c>
      <c r="F11" s="11">
        <v>0</v>
      </c>
      <c r="G11" s="11">
        <v>1.2083999999999999E-8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0</v>
      </c>
      <c r="F12" s="11">
        <v>0</v>
      </c>
      <c r="G12" s="11">
        <v>7.6373999999999993E-9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1</v>
      </c>
      <c r="F13" s="11">
        <v>0</v>
      </c>
      <c r="G13" s="11">
        <v>6.1384000000000002E-9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2</v>
      </c>
      <c r="F14" s="11">
        <v>0</v>
      </c>
      <c r="G14" s="11">
        <v>5.4281000000000003E-9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2</v>
      </c>
      <c r="F15" s="11">
        <v>0</v>
      </c>
      <c r="G15" s="11">
        <v>4.8311E-9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2</v>
      </c>
      <c r="F16" s="11">
        <v>0</v>
      </c>
      <c r="G16" s="11">
        <v>3.9631999999999997E-9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1</v>
      </c>
      <c r="F17" s="11">
        <v>0</v>
      </c>
      <c r="G17" s="11">
        <v>3.1116999999999999E-9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2.8815E-9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2</v>
      </c>
      <c r="F19" s="11">
        <v>0</v>
      </c>
      <c r="G19" s="11">
        <v>2.4173999999999999E-9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2</v>
      </c>
      <c r="F20" s="11">
        <v>0</v>
      </c>
      <c r="G20" s="11">
        <v>2.1821000000000001E-9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1</v>
      </c>
      <c r="F21" s="11">
        <v>0</v>
      </c>
      <c r="G21" s="11">
        <v>1.9733999999999998E-9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1</v>
      </c>
      <c r="F22" s="11">
        <v>0</v>
      </c>
      <c r="G22" s="11">
        <v>1.8793999999999999E-9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1</v>
      </c>
      <c r="F23" s="11">
        <v>0</v>
      </c>
      <c r="G23" s="11">
        <v>1.6722000000000001E-9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1.5246000000000001E-9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1.4685E-9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1.3344000000000001E-9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1</v>
      </c>
      <c r="F27" s="11">
        <v>0</v>
      </c>
      <c r="G27" s="11">
        <v>1.2897E-9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1.2358E-9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1.2033E-9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1.1547E-9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1</v>
      </c>
      <c r="F31" s="11">
        <v>0</v>
      </c>
      <c r="G31" s="11">
        <v>1.1548E-9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1</v>
      </c>
      <c r="F32" s="11">
        <v>0</v>
      </c>
      <c r="G32" s="11">
        <v>1.1471999999999999E-9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1.0978000000000001E-9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1.0625E-9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1.03E-9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9.9120999999999993E-10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9.7201000000000004E-10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1</v>
      </c>
      <c r="F38" s="11">
        <v>0</v>
      </c>
      <c r="G38" s="11">
        <v>9.7136999999999992E-10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9.4579999999999998E-10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1</v>
      </c>
      <c r="F40" s="11">
        <v>0</v>
      </c>
      <c r="G40" s="11">
        <v>9.1607000000000002E-10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-1</v>
      </c>
      <c r="F41" s="11">
        <v>0</v>
      </c>
      <c r="G41" s="11">
        <v>8.8750999999999997E-10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8.6319999999999998E-10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8.4198000000000002E-10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8.1162000000000004E-10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0</v>
      </c>
      <c r="F45" s="11">
        <v>0</v>
      </c>
      <c r="G45" s="11">
        <v>8.0289999999999999E-10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1</v>
      </c>
      <c r="F46" s="11">
        <v>0</v>
      </c>
      <c r="G46" s="11">
        <v>7.7631999999999996E-10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7.7554999999999997E-10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7.8494999999999996E-10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7.8059999999999997E-10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7.6809999999999996E-10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-1</v>
      </c>
      <c r="F51" s="11">
        <v>0</v>
      </c>
      <c r="G51" s="11">
        <v>7.6045999999999998E-10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7.4845000000000004E-10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0</v>
      </c>
      <c r="F53" s="11">
        <v>0</v>
      </c>
      <c r="G53" s="11">
        <v>7.0697999999999997E-10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6.8297999999999995E-10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1</v>
      </c>
      <c r="F55" s="11">
        <v>0</v>
      </c>
      <c r="G55" s="11">
        <v>6.8516000000000004E-10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6.7334999999999995E-10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6.5434000000000004E-10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6.5066999999999999E-10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-1</v>
      </c>
      <c r="F59" s="11">
        <v>0</v>
      </c>
      <c r="G59" s="11">
        <v>6.4315E-10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6.2091999999999996E-10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6.0415000000000003E-10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5.9922000000000003E-10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5.8689000000000003E-10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5.7217999999999998E-10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5.7297000000000004E-10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5.6137E-10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5.4811999999999996E-10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5.4662000000000002E-10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5.4792000000000001E-10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5.3501E-10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5.2466000000000003E-10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5.3015999999999996E-10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5.2592999999999996E-10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5.1491000000000003E-10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5.0037999999999998E-10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4.7700999999999999E-10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4.6750999999999997E-10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4.5889999999999999E-10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4.5207000000000002E-10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4.4736999999999998E-10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4.5778999999999998E-10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4.5232999999999998E-10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4.4062000000000003E-10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4.1794000000000001E-10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4.0535E-10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4.0205000000000002E-10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3.7629999999999998E-10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3.8087999999999998E-10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3.8231E-10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3.6763E-10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3.3700000000000003E-10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3.344E-10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3.3222000000000002E-10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3.2504999999999998E-10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3.167E-10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3.0548000000000001E-10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3.0132E-10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46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420</v>
      </c>
      <c r="H2" t="s">
        <v>26</v>
      </c>
      <c r="I2">
        <v>420</v>
      </c>
    </row>
    <row r="3" spans="2:12" x14ac:dyDescent="0.25">
      <c r="B3" t="s">
        <v>27</v>
      </c>
      <c r="C3" t="s">
        <v>28</v>
      </c>
      <c r="D3" s="11">
        <v>-3.0000820000000001E-4</v>
      </c>
    </row>
    <row r="4" spans="2:12" x14ac:dyDescent="0.25">
      <c r="B4" t="s">
        <v>29</v>
      </c>
      <c r="C4" t="s">
        <v>28</v>
      </c>
      <c r="D4" s="11">
        <v>-3.0006199999999997E-4</v>
      </c>
    </row>
    <row r="5" spans="2:12" x14ac:dyDescent="0.25">
      <c r="B5" t="s">
        <v>30</v>
      </c>
      <c r="C5" t="s">
        <v>28</v>
      </c>
      <c r="D5" s="11">
        <v>-3.000357E-4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419</v>
      </c>
      <c r="E11">
        <v>1</v>
      </c>
      <c r="F11" s="11">
        <v>0</v>
      </c>
      <c r="G11" s="11">
        <v>1.2905E-8</v>
      </c>
      <c r="H11" s="11">
        <v>0</v>
      </c>
    </row>
    <row r="12" spans="2:12" x14ac:dyDescent="0.25">
      <c r="B12">
        <v>2</v>
      </c>
      <c r="C12" s="11">
        <v>2</v>
      </c>
      <c r="D12">
        <v>417</v>
      </c>
      <c r="E12">
        <v>2</v>
      </c>
      <c r="F12" s="11">
        <v>0</v>
      </c>
      <c r="G12" s="11">
        <v>6.9517000000000003E-9</v>
      </c>
      <c r="H12" s="11">
        <v>0</v>
      </c>
    </row>
    <row r="13" spans="2:12" x14ac:dyDescent="0.25">
      <c r="B13">
        <v>3</v>
      </c>
      <c r="C13" s="11">
        <v>3</v>
      </c>
      <c r="D13">
        <v>415</v>
      </c>
      <c r="E13">
        <v>2</v>
      </c>
      <c r="F13" s="11">
        <v>0</v>
      </c>
      <c r="G13" s="11">
        <v>4.6135999999999999E-9</v>
      </c>
      <c r="H13" s="11">
        <v>0</v>
      </c>
    </row>
    <row r="14" spans="2:12" x14ac:dyDescent="0.25">
      <c r="B14">
        <v>4</v>
      </c>
      <c r="C14" s="11">
        <v>4</v>
      </c>
      <c r="D14">
        <v>413</v>
      </c>
      <c r="E14">
        <v>1</v>
      </c>
      <c r="F14" s="11">
        <v>0</v>
      </c>
      <c r="G14" s="11">
        <v>3.8065999999999997E-9</v>
      </c>
      <c r="H14" s="11">
        <v>0</v>
      </c>
    </row>
    <row r="15" spans="2:12" x14ac:dyDescent="0.25">
      <c r="B15">
        <v>5</v>
      </c>
      <c r="C15" s="11">
        <v>5</v>
      </c>
      <c r="D15">
        <v>411</v>
      </c>
      <c r="E15">
        <v>1</v>
      </c>
      <c r="F15" s="11">
        <v>0</v>
      </c>
      <c r="G15" s="11">
        <v>2.6935999999999999E-9</v>
      </c>
      <c r="H15" s="11">
        <v>0</v>
      </c>
    </row>
    <row r="16" spans="2:12" x14ac:dyDescent="0.25">
      <c r="B16">
        <v>6</v>
      </c>
      <c r="C16" s="11">
        <v>6</v>
      </c>
      <c r="D16">
        <v>409</v>
      </c>
      <c r="E16">
        <v>1</v>
      </c>
      <c r="F16" s="11">
        <v>0</v>
      </c>
      <c r="G16" s="11">
        <v>2.3140000000000001E-9</v>
      </c>
      <c r="H16" s="11">
        <v>0</v>
      </c>
    </row>
    <row r="17" spans="2:8" x14ac:dyDescent="0.25">
      <c r="B17">
        <v>7</v>
      </c>
      <c r="C17" s="11">
        <v>7</v>
      </c>
      <c r="D17">
        <v>407</v>
      </c>
      <c r="E17">
        <v>0</v>
      </c>
      <c r="F17" s="11">
        <v>0</v>
      </c>
      <c r="G17" s="11">
        <v>1.6294E-9</v>
      </c>
      <c r="H17" s="11">
        <v>0</v>
      </c>
    </row>
    <row r="18" spans="2:8" x14ac:dyDescent="0.25">
      <c r="B18">
        <v>8</v>
      </c>
      <c r="C18" s="11">
        <v>8</v>
      </c>
      <c r="D18">
        <v>405</v>
      </c>
      <c r="E18">
        <v>1</v>
      </c>
      <c r="F18" s="11">
        <v>0</v>
      </c>
      <c r="G18" s="11">
        <v>1.8860999999999999E-9</v>
      </c>
      <c r="H18" s="11">
        <v>0</v>
      </c>
    </row>
    <row r="19" spans="2:8" x14ac:dyDescent="0.25">
      <c r="B19">
        <v>9</v>
      </c>
      <c r="C19" s="11">
        <v>9</v>
      </c>
      <c r="D19">
        <v>403</v>
      </c>
      <c r="E19">
        <v>1</v>
      </c>
      <c r="F19" s="11">
        <v>0</v>
      </c>
      <c r="G19" s="11">
        <v>1.8347000000000001E-9</v>
      </c>
      <c r="H19" s="11">
        <v>0</v>
      </c>
    </row>
    <row r="20" spans="2:8" x14ac:dyDescent="0.25">
      <c r="B20">
        <v>10</v>
      </c>
      <c r="C20" s="11">
        <v>10</v>
      </c>
      <c r="D20">
        <v>401</v>
      </c>
      <c r="E20">
        <v>0</v>
      </c>
      <c r="F20" s="11">
        <v>0</v>
      </c>
      <c r="G20" s="11">
        <v>1.424E-9</v>
      </c>
      <c r="H20" s="11">
        <v>0</v>
      </c>
    </row>
    <row r="21" spans="2:8" x14ac:dyDescent="0.25">
      <c r="B21">
        <v>11</v>
      </c>
      <c r="C21" s="11">
        <v>11</v>
      </c>
      <c r="D21">
        <v>399</v>
      </c>
      <c r="E21">
        <v>1</v>
      </c>
      <c r="F21" s="11">
        <v>0</v>
      </c>
      <c r="G21" s="11">
        <v>1.465E-9</v>
      </c>
      <c r="H21" s="11">
        <v>0</v>
      </c>
    </row>
    <row r="22" spans="2:8" x14ac:dyDescent="0.25">
      <c r="B22">
        <v>12</v>
      </c>
      <c r="C22" s="11">
        <v>12</v>
      </c>
      <c r="D22">
        <v>397</v>
      </c>
      <c r="E22">
        <v>0</v>
      </c>
      <c r="F22" s="11">
        <v>0</v>
      </c>
      <c r="G22" s="11">
        <v>1.3492000000000001E-9</v>
      </c>
      <c r="H22" s="11">
        <v>0</v>
      </c>
    </row>
    <row r="23" spans="2:8" x14ac:dyDescent="0.25">
      <c r="B23">
        <v>13</v>
      </c>
      <c r="C23" s="11">
        <v>13</v>
      </c>
      <c r="D23">
        <v>395</v>
      </c>
      <c r="E23">
        <v>0</v>
      </c>
      <c r="F23" s="11">
        <v>0</v>
      </c>
      <c r="G23" s="11">
        <v>1.2576000000000001E-9</v>
      </c>
      <c r="H23" s="11">
        <v>0</v>
      </c>
    </row>
    <row r="24" spans="2:8" x14ac:dyDescent="0.25">
      <c r="B24">
        <v>14</v>
      </c>
      <c r="C24" s="11">
        <v>14</v>
      </c>
      <c r="D24">
        <v>393</v>
      </c>
      <c r="E24">
        <v>0</v>
      </c>
      <c r="F24" s="11">
        <v>0</v>
      </c>
      <c r="G24" s="11">
        <v>1.1645000000000001E-9</v>
      </c>
      <c r="H24" s="11">
        <v>0</v>
      </c>
    </row>
    <row r="25" spans="2:8" x14ac:dyDescent="0.25">
      <c r="B25">
        <v>15</v>
      </c>
      <c r="C25" s="11">
        <v>15</v>
      </c>
      <c r="D25">
        <v>391</v>
      </c>
      <c r="E25">
        <v>0</v>
      </c>
      <c r="F25" s="11">
        <v>0</v>
      </c>
      <c r="G25" s="11">
        <v>1.1806E-9</v>
      </c>
      <c r="H25" s="11">
        <v>0</v>
      </c>
    </row>
    <row r="26" spans="2:8" x14ac:dyDescent="0.25">
      <c r="B26">
        <v>16</v>
      </c>
      <c r="C26" s="11">
        <v>16</v>
      </c>
      <c r="D26">
        <v>389</v>
      </c>
      <c r="E26">
        <v>0</v>
      </c>
      <c r="F26" s="11">
        <v>0</v>
      </c>
      <c r="G26" s="11">
        <v>1.1413E-9</v>
      </c>
      <c r="H26" s="11">
        <v>0</v>
      </c>
    </row>
    <row r="27" spans="2:8" x14ac:dyDescent="0.25">
      <c r="B27">
        <v>17</v>
      </c>
      <c r="C27" s="11">
        <v>17</v>
      </c>
      <c r="D27">
        <v>387</v>
      </c>
      <c r="E27">
        <v>0</v>
      </c>
      <c r="F27" s="11">
        <v>0</v>
      </c>
      <c r="G27" s="11">
        <v>9.9764999999999996E-10</v>
      </c>
      <c r="H27" s="11">
        <v>0</v>
      </c>
    </row>
    <row r="28" spans="2:8" x14ac:dyDescent="0.25">
      <c r="B28">
        <v>18</v>
      </c>
      <c r="C28" s="11">
        <v>18</v>
      </c>
      <c r="D28">
        <v>385</v>
      </c>
      <c r="E28">
        <v>0</v>
      </c>
      <c r="F28" s="11">
        <v>0</v>
      </c>
      <c r="G28" s="11">
        <v>1.0274E-9</v>
      </c>
      <c r="H28" s="11">
        <v>0</v>
      </c>
    </row>
    <row r="29" spans="2:8" x14ac:dyDescent="0.25">
      <c r="B29">
        <v>19</v>
      </c>
      <c r="C29" s="11">
        <v>19</v>
      </c>
      <c r="D29">
        <v>383</v>
      </c>
      <c r="E29">
        <v>0</v>
      </c>
      <c r="F29" s="11">
        <v>0</v>
      </c>
      <c r="G29" s="11">
        <v>1.0133E-9</v>
      </c>
      <c r="H29" s="11">
        <v>0</v>
      </c>
    </row>
    <row r="30" spans="2:8" x14ac:dyDescent="0.25">
      <c r="B30">
        <v>20</v>
      </c>
      <c r="C30" s="11">
        <v>20</v>
      </c>
      <c r="D30">
        <v>381</v>
      </c>
      <c r="E30">
        <v>0</v>
      </c>
      <c r="F30" s="11">
        <v>0</v>
      </c>
      <c r="G30" s="11">
        <v>9.6628999999999998E-10</v>
      </c>
      <c r="H30" s="11">
        <v>0</v>
      </c>
    </row>
    <row r="31" spans="2:8" x14ac:dyDescent="0.25">
      <c r="B31">
        <v>21</v>
      </c>
      <c r="C31" s="11">
        <v>21</v>
      </c>
      <c r="D31">
        <v>379</v>
      </c>
      <c r="E31">
        <v>0</v>
      </c>
      <c r="F31" s="11">
        <v>0</v>
      </c>
      <c r="G31" s="11">
        <v>9.2642999999999997E-10</v>
      </c>
      <c r="H31" s="11">
        <v>0</v>
      </c>
    </row>
    <row r="32" spans="2:8" x14ac:dyDescent="0.25">
      <c r="B32">
        <v>22</v>
      </c>
      <c r="C32" s="11">
        <v>22</v>
      </c>
      <c r="D32">
        <v>377</v>
      </c>
      <c r="E32">
        <v>0</v>
      </c>
      <c r="F32" s="11">
        <v>0</v>
      </c>
      <c r="G32" s="11">
        <v>9.1856999999999996E-10</v>
      </c>
      <c r="H32" s="11">
        <v>0</v>
      </c>
    </row>
    <row r="33" spans="2:8" x14ac:dyDescent="0.25">
      <c r="B33">
        <v>23</v>
      </c>
      <c r="C33" s="11">
        <v>23</v>
      </c>
      <c r="D33">
        <v>375</v>
      </c>
      <c r="E33">
        <v>0</v>
      </c>
      <c r="F33" s="11">
        <v>0</v>
      </c>
      <c r="G33" s="11">
        <v>9.1656999999999997E-10</v>
      </c>
      <c r="H33" s="11">
        <v>0</v>
      </c>
    </row>
    <row r="34" spans="2:8" x14ac:dyDescent="0.25">
      <c r="B34">
        <v>24</v>
      </c>
      <c r="C34" s="11">
        <v>24</v>
      </c>
      <c r="D34">
        <v>373</v>
      </c>
      <c r="E34">
        <v>0</v>
      </c>
      <c r="F34" s="11">
        <v>0</v>
      </c>
      <c r="G34" s="11">
        <v>8.6190999999999997E-10</v>
      </c>
      <c r="H34" s="11">
        <v>0</v>
      </c>
    </row>
    <row r="35" spans="2:8" x14ac:dyDescent="0.25">
      <c r="B35">
        <v>25</v>
      </c>
      <c r="C35" s="11">
        <v>25</v>
      </c>
      <c r="D35">
        <v>371</v>
      </c>
      <c r="E35">
        <v>0</v>
      </c>
      <c r="F35" s="11">
        <v>0</v>
      </c>
      <c r="G35" s="11">
        <v>8.6018000000000002E-10</v>
      </c>
      <c r="H35" s="11">
        <v>0</v>
      </c>
    </row>
    <row r="36" spans="2:8" x14ac:dyDescent="0.25">
      <c r="B36">
        <v>26</v>
      </c>
      <c r="C36" s="11">
        <v>26</v>
      </c>
      <c r="D36">
        <v>369</v>
      </c>
      <c r="E36">
        <v>0</v>
      </c>
      <c r="F36" s="11">
        <v>0</v>
      </c>
      <c r="G36" s="11">
        <v>8.5779999999999997E-10</v>
      </c>
      <c r="H36" s="11">
        <v>0</v>
      </c>
    </row>
    <row r="37" spans="2:8" x14ac:dyDescent="0.25">
      <c r="B37">
        <v>27</v>
      </c>
      <c r="C37" s="11">
        <v>27</v>
      </c>
      <c r="D37">
        <v>367</v>
      </c>
      <c r="E37">
        <v>0</v>
      </c>
      <c r="F37" s="11">
        <v>0</v>
      </c>
      <c r="G37" s="11">
        <v>8.3329000000000002E-10</v>
      </c>
      <c r="H37" s="11">
        <v>0</v>
      </c>
    </row>
    <row r="38" spans="2:8" x14ac:dyDescent="0.25">
      <c r="B38">
        <v>28</v>
      </c>
      <c r="C38" s="11">
        <v>28</v>
      </c>
      <c r="D38">
        <v>365</v>
      </c>
      <c r="E38">
        <v>0</v>
      </c>
      <c r="F38" s="11">
        <v>0</v>
      </c>
      <c r="G38" s="11">
        <v>8.0451000000000005E-10</v>
      </c>
      <c r="H38" s="11">
        <v>0</v>
      </c>
    </row>
    <row r="39" spans="2:8" x14ac:dyDescent="0.25">
      <c r="B39">
        <v>29</v>
      </c>
      <c r="C39" s="11">
        <v>29</v>
      </c>
      <c r="D39">
        <v>363</v>
      </c>
      <c r="E39">
        <v>0</v>
      </c>
      <c r="F39" s="11">
        <v>0</v>
      </c>
      <c r="G39" s="11">
        <v>8.0267999999999996E-10</v>
      </c>
      <c r="H39" s="11">
        <v>0</v>
      </c>
    </row>
    <row r="40" spans="2:8" x14ac:dyDescent="0.25">
      <c r="B40">
        <v>30</v>
      </c>
      <c r="C40" s="11">
        <v>30</v>
      </c>
      <c r="D40">
        <v>361</v>
      </c>
      <c r="E40">
        <v>1</v>
      </c>
      <c r="F40" s="11">
        <v>0</v>
      </c>
      <c r="G40" s="11">
        <v>8.0310000000000005E-10</v>
      </c>
      <c r="H40" s="11">
        <v>0</v>
      </c>
    </row>
    <row r="41" spans="2:8" x14ac:dyDescent="0.25">
      <c r="B41">
        <v>31</v>
      </c>
      <c r="C41" s="11">
        <v>31</v>
      </c>
      <c r="D41">
        <v>359</v>
      </c>
      <c r="E41">
        <v>0</v>
      </c>
      <c r="F41" s="11">
        <v>0</v>
      </c>
      <c r="G41" s="11">
        <v>7.5774000000000001E-10</v>
      </c>
      <c r="H41" s="11">
        <v>0</v>
      </c>
    </row>
    <row r="42" spans="2:8" x14ac:dyDescent="0.25">
      <c r="B42">
        <v>32</v>
      </c>
      <c r="C42" s="11">
        <v>32</v>
      </c>
      <c r="D42">
        <v>357</v>
      </c>
      <c r="E42">
        <v>0</v>
      </c>
      <c r="F42" s="11">
        <v>0</v>
      </c>
      <c r="G42" s="11">
        <v>7.7078E-10</v>
      </c>
      <c r="H42" s="11">
        <v>0</v>
      </c>
    </row>
    <row r="43" spans="2:8" x14ac:dyDescent="0.25">
      <c r="B43">
        <v>33</v>
      </c>
      <c r="C43" s="11">
        <v>33</v>
      </c>
      <c r="D43">
        <v>355</v>
      </c>
      <c r="E43">
        <v>0</v>
      </c>
      <c r="F43" s="11">
        <v>0</v>
      </c>
      <c r="G43" s="11">
        <v>7.6017999999999995E-10</v>
      </c>
      <c r="H43" s="11">
        <v>0</v>
      </c>
    </row>
    <row r="44" spans="2:8" x14ac:dyDescent="0.25">
      <c r="B44">
        <v>34</v>
      </c>
      <c r="C44" s="11">
        <v>34</v>
      </c>
      <c r="D44">
        <v>353</v>
      </c>
      <c r="E44">
        <v>0</v>
      </c>
      <c r="F44" s="11">
        <v>0</v>
      </c>
      <c r="G44" s="11">
        <v>7.4138999999999996E-10</v>
      </c>
      <c r="H44" s="11">
        <v>0</v>
      </c>
    </row>
    <row r="45" spans="2:8" x14ac:dyDescent="0.25">
      <c r="B45">
        <v>35</v>
      </c>
      <c r="C45" s="11">
        <v>35</v>
      </c>
      <c r="D45">
        <v>351</v>
      </c>
      <c r="E45">
        <v>1</v>
      </c>
      <c r="F45" s="11">
        <v>0</v>
      </c>
      <c r="G45" s="11">
        <v>7.2479000000000004E-10</v>
      </c>
      <c r="H45" s="11">
        <v>0</v>
      </c>
    </row>
    <row r="46" spans="2:8" x14ac:dyDescent="0.25">
      <c r="B46">
        <v>36</v>
      </c>
      <c r="C46" s="11">
        <v>36</v>
      </c>
      <c r="D46">
        <v>349</v>
      </c>
      <c r="E46">
        <v>0</v>
      </c>
      <c r="F46" s="11">
        <v>0</v>
      </c>
      <c r="G46" s="11">
        <v>7.1417000000000003E-10</v>
      </c>
      <c r="H46" s="11">
        <v>0</v>
      </c>
    </row>
    <row r="47" spans="2:8" x14ac:dyDescent="0.25">
      <c r="B47">
        <v>37</v>
      </c>
      <c r="C47" s="11">
        <v>37</v>
      </c>
      <c r="D47">
        <v>347</v>
      </c>
      <c r="E47">
        <v>0</v>
      </c>
      <c r="F47" s="11">
        <v>0</v>
      </c>
      <c r="G47" s="11">
        <v>7.2956000000000001E-10</v>
      </c>
      <c r="H47" s="11">
        <v>0</v>
      </c>
    </row>
    <row r="48" spans="2:8" x14ac:dyDescent="0.25">
      <c r="B48">
        <v>38</v>
      </c>
      <c r="C48" s="11">
        <v>38</v>
      </c>
      <c r="D48">
        <v>345</v>
      </c>
      <c r="E48">
        <v>0</v>
      </c>
      <c r="F48" s="11">
        <v>0</v>
      </c>
      <c r="G48" s="11">
        <v>6.9394999999999997E-10</v>
      </c>
      <c r="H48" s="11">
        <v>0</v>
      </c>
    </row>
    <row r="49" spans="2:8" x14ac:dyDescent="0.25">
      <c r="B49">
        <v>39</v>
      </c>
      <c r="C49" s="11">
        <v>39</v>
      </c>
      <c r="D49">
        <v>343</v>
      </c>
      <c r="E49">
        <v>0</v>
      </c>
      <c r="F49" s="11">
        <v>0</v>
      </c>
      <c r="G49" s="11">
        <v>7.0613000000000002E-10</v>
      </c>
      <c r="H49" s="11">
        <v>0</v>
      </c>
    </row>
    <row r="50" spans="2:8" x14ac:dyDescent="0.25">
      <c r="B50">
        <v>40</v>
      </c>
      <c r="C50" s="11">
        <v>40</v>
      </c>
      <c r="D50">
        <v>341</v>
      </c>
      <c r="E50">
        <v>0</v>
      </c>
      <c r="F50" s="11">
        <v>0</v>
      </c>
      <c r="G50" s="11">
        <v>7.0414999999999999E-10</v>
      </c>
      <c r="H50" s="11">
        <v>0</v>
      </c>
    </row>
    <row r="51" spans="2:8" x14ac:dyDescent="0.25">
      <c r="B51">
        <v>41</v>
      </c>
      <c r="C51" s="11">
        <v>41</v>
      </c>
      <c r="D51">
        <v>339</v>
      </c>
      <c r="E51">
        <v>0</v>
      </c>
      <c r="F51" s="11">
        <v>0</v>
      </c>
      <c r="G51" s="11">
        <v>6.8293000000000004E-10</v>
      </c>
      <c r="H51" s="11">
        <v>0</v>
      </c>
    </row>
    <row r="52" spans="2:8" x14ac:dyDescent="0.25">
      <c r="B52">
        <v>42</v>
      </c>
      <c r="C52" s="11">
        <v>42</v>
      </c>
      <c r="D52">
        <v>337</v>
      </c>
      <c r="E52">
        <v>0</v>
      </c>
      <c r="F52" s="11">
        <v>0</v>
      </c>
      <c r="G52" s="11">
        <v>6.8554999999999997E-10</v>
      </c>
      <c r="H52" s="11">
        <v>0</v>
      </c>
    </row>
    <row r="53" spans="2:8" x14ac:dyDescent="0.25">
      <c r="B53">
        <v>43</v>
      </c>
      <c r="C53" s="11">
        <v>43</v>
      </c>
      <c r="D53">
        <v>335</v>
      </c>
      <c r="E53">
        <v>1</v>
      </c>
      <c r="F53" s="11">
        <v>0</v>
      </c>
      <c r="G53" s="11">
        <v>6.7539999999999996E-10</v>
      </c>
      <c r="H53" s="11">
        <v>0</v>
      </c>
    </row>
    <row r="54" spans="2:8" x14ac:dyDescent="0.25">
      <c r="B54">
        <v>44</v>
      </c>
      <c r="C54" s="11">
        <v>44</v>
      </c>
      <c r="D54">
        <v>333</v>
      </c>
      <c r="E54">
        <v>0</v>
      </c>
      <c r="F54" s="11">
        <v>0</v>
      </c>
      <c r="G54" s="11">
        <v>6.8170000000000003E-10</v>
      </c>
      <c r="H54" s="11">
        <v>0</v>
      </c>
    </row>
    <row r="55" spans="2:8" x14ac:dyDescent="0.25">
      <c r="B55">
        <v>45</v>
      </c>
      <c r="C55" s="11">
        <v>45</v>
      </c>
      <c r="D55">
        <v>331</v>
      </c>
      <c r="E55">
        <v>1</v>
      </c>
      <c r="F55" s="11">
        <v>0</v>
      </c>
      <c r="G55" s="11">
        <v>6.6301999999999995E-10</v>
      </c>
      <c r="H55" s="11">
        <v>0</v>
      </c>
    </row>
    <row r="56" spans="2:8" x14ac:dyDescent="0.25">
      <c r="B56">
        <v>46</v>
      </c>
      <c r="C56" s="11">
        <v>46</v>
      </c>
      <c r="D56">
        <v>329</v>
      </c>
      <c r="E56">
        <v>0</v>
      </c>
      <c r="F56" s="11">
        <v>0</v>
      </c>
      <c r="G56" s="11">
        <v>6.4855E-10</v>
      </c>
      <c r="H56" s="11">
        <v>0</v>
      </c>
    </row>
    <row r="57" spans="2:8" x14ac:dyDescent="0.25">
      <c r="B57">
        <v>47</v>
      </c>
      <c r="C57" s="11">
        <v>47</v>
      </c>
      <c r="D57">
        <v>327</v>
      </c>
      <c r="E57">
        <v>0</v>
      </c>
      <c r="F57" s="11">
        <v>0</v>
      </c>
      <c r="G57" s="11">
        <v>6.5094000000000003E-10</v>
      </c>
      <c r="H57" s="11">
        <v>0</v>
      </c>
    </row>
    <row r="58" spans="2:8" x14ac:dyDescent="0.25">
      <c r="B58">
        <v>48</v>
      </c>
      <c r="C58" s="11">
        <v>48</v>
      </c>
      <c r="D58">
        <v>325</v>
      </c>
      <c r="E58">
        <v>0</v>
      </c>
      <c r="F58" s="11">
        <v>0</v>
      </c>
      <c r="G58" s="11">
        <v>6.2261999999999997E-10</v>
      </c>
      <c r="H58" s="11">
        <v>0</v>
      </c>
    </row>
    <row r="59" spans="2:8" x14ac:dyDescent="0.25">
      <c r="B59">
        <v>49</v>
      </c>
      <c r="C59" s="11">
        <v>49</v>
      </c>
      <c r="D59">
        <v>323</v>
      </c>
      <c r="E59">
        <v>0</v>
      </c>
      <c r="F59" s="11">
        <v>0</v>
      </c>
      <c r="G59" s="11">
        <v>6.2171000000000002E-10</v>
      </c>
      <c r="H59" s="11">
        <v>0</v>
      </c>
    </row>
    <row r="60" spans="2:8" x14ac:dyDescent="0.25">
      <c r="B60">
        <v>50</v>
      </c>
      <c r="C60" s="11">
        <v>50</v>
      </c>
      <c r="D60">
        <v>321</v>
      </c>
      <c r="E60">
        <v>0</v>
      </c>
      <c r="F60" s="11">
        <v>0</v>
      </c>
      <c r="G60" s="11">
        <v>6.2445000000000005E-10</v>
      </c>
      <c r="H60" s="11">
        <v>0</v>
      </c>
    </row>
    <row r="61" spans="2:8" x14ac:dyDescent="0.25">
      <c r="B61">
        <v>51</v>
      </c>
      <c r="C61" s="11">
        <v>51</v>
      </c>
      <c r="D61">
        <v>319</v>
      </c>
      <c r="E61">
        <v>0</v>
      </c>
      <c r="F61" s="11">
        <v>0</v>
      </c>
      <c r="G61" s="11">
        <v>6.1479999999999999E-10</v>
      </c>
      <c r="H61" s="11">
        <v>0</v>
      </c>
    </row>
    <row r="62" spans="2:8" x14ac:dyDescent="0.25">
      <c r="B62">
        <v>52</v>
      </c>
      <c r="C62" s="11">
        <v>52</v>
      </c>
      <c r="D62">
        <v>317</v>
      </c>
      <c r="E62">
        <v>0</v>
      </c>
      <c r="F62" s="11">
        <v>0</v>
      </c>
      <c r="G62" s="11">
        <v>6.0345000000000002E-10</v>
      </c>
      <c r="H62" s="11">
        <v>0</v>
      </c>
    </row>
    <row r="63" spans="2:8" x14ac:dyDescent="0.25">
      <c r="B63">
        <v>53</v>
      </c>
      <c r="C63" s="11">
        <v>53</v>
      </c>
      <c r="D63">
        <v>315</v>
      </c>
      <c r="E63">
        <v>0</v>
      </c>
      <c r="F63" s="11">
        <v>0</v>
      </c>
      <c r="G63" s="11">
        <v>5.9424999999999999E-10</v>
      </c>
      <c r="H63" s="11">
        <v>0</v>
      </c>
    </row>
    <row r="64" spans="2:8" x14ac:dyDescent="0.25">
      <c r="B64">
        <v>54</v>
      </c>
      <c r="C64" s="11">
        <v>54</v>
      </c>
      <c r="D64">
        <v>313</v>
      </c>
      <c r="E64">
        <v>0</v>
      </c>
      <c r="F64" s="11">
        <v>0</v>
      </c>
      <c r="G64" s="11">
        <v>5.9589E-10</v>
      </c>
      <c r="H64" s="11">
        <v>0</v>
      </c>
    </row>
    <row r="65" spans="2:8" x14ac:dyDescent="0.25">
      <c r="B65">
        <v>55</v>
      </c>
      <c r="C65" s="11">
        <v>55</v>
      </c>
      <c r="D65">
        <v>311</v>
      </c>
      <c r="E65">
        <v>0</v>
      </c>
      <c r="F65" s="11">
        <v>0</v>
      </c>
      <c r="G65" s="11">
        <v>5.7921000000000001E-10</v>
      </c>
      <c r="H65" s="11">
        <v>0</v>
      </c>
    </row>
    <row r="66" spans="2:8" x14ac:dyDescent="0.25">
      <c r="B66">
        <v>56</v>
      </c>
      <c r="C66" s="11">
        <v>56</v>
      </c>
      <c r="D66">
        <v>309</v>
      </c>
      <c r="E66">
        <v>0</v>
      </c>
      <c r="F66" s="11">
        <v>0</v>
      </c>
      <c r="G66" s="11">
        <v>5.7699999999999997E-10</v>
      </c>
      <c r="H66" s="11">
        <v>0</v>
      </c>
    </row>
    <row r="67" spans="2:8" x14ac:dyDescent="0.25">
      <c r="B67">
        <v>57</v>
      </c>
      <c r="C67" s="11">
        <v>57</v>
      </c>
      <c r="D67">
        <v>307</v>
      </c>
      <c r="E67">
        <v>0</v>
      </c>
      <c r="F67" s="11">
        <v>0</v>
      </c>
      <c r="G67" s="11">
        <v>5.7561000000000004E-10</v>
      </c>
      <c r="H67" s="11">
        <v>0</v>
      </c>
    </row>
    <row r="68" spans="2:8" x14ac:dyDescent="0.25">
      <c r="B68">
        <v>58</v>
      </c>
      <c r="C68" s="11">
        <v>58</v>
      </c>
      <c r="D68">
        <v>305</v>
      </c>
      <c r="E68">
        <v>0</v>
      </c>
      <c r="F68" s="11">
        <v>0</v>
      </c>
      <c r="G68" s="11">
        <v>5.7193000000000001E-10</v>
      </c>
      <c r="H68" s="11">
        <v>0</v>
      </c>
    </row>
    <row r="69" spans="2:8" x14ac:dyDescent="0.25">
      <c r="B69">
        <v>59</v>
      </c>
      <c r="C69" s="11">
        <v>59</v>
      </c>
      <c r="D69">
        <v>303</v>
      </c>
      <c r="E69">
        <v>0</v>
      </c>
      <c r="F69" s="11">
        <v>0</v>
      </c>
      <c r="G69" s="11">
        <v>5.6613999999999997E-10</v>
      </c>
      <c r="H69" s="11">
        <v>0</v>
      </c>
    </row>
    <row r="70" spans="2:8" x14ac:dyDescent="0.25">
      <c r="B70">
        <v>60</v>
      </c>
      <c r="C70" s="11">
        <v>60</v>
      </c>
      <c r="D70">
        <v>301</v>
      </c>
      <c r="E70">
        <v>0</v>
      </c>
      <c r="F70" s="11">
        <v>0</v>
      </c>
      <c r="G70" s="11">
        <v>5.5254000000000004E-10</v>
      </c>
      <c r="H70" s="11">
        <v>0</v>
      </c>
    </row>
    <row r="71" spans="2:8" x14ac:dyDescent="0.25">
      <c r="B71">
        <v>61</v>
      </c>
      <c r="C71" s="11">
        <v>61</v>
      </c>
      <c r="D71">
        <v>299</v>
      </c>
      <c r="E71">
        <v>0</v>
      </c>
      <c r="F71" s="11">
        <v>0</v>
      </c>
      <c r="G71" s="11">
        <v>5.5397999999999998E-10</v>
      </c>
      <c r="H71" s="11">
        <v>0</v>
      </c>
    </row>
    <row r="72" spans="2:8" x14ac:dyDescent="0.25">
      <c r="B72">
        <v>62</v>
      </c>
      <c r="C72" s="11">
        <v>62</v>
      </c>
      <c r="D72">
        <v>297</v>
      </c>
      <c r="E72">
        <v>0</v>
      </c>
      <c r="F72" s="11">
        <v>0</v>
      </c>
      <c r="G72" s="11">
        <v>5.4429999999999997E-10</v>
      </c>
      <c r="H72" s="11">
        <v>0</v>
      </c>
    </row>
    <row r="73" spans="2:8" x14ac:dyDescent="0.25">
      <c r="B73">
        <v>63</v>
      </c>
      <c r="C73" s="11">
        <v>63</v>
      </c>
      <c r="D73">
        <v>295</v>
      </c>
      <c r="E73">
        <v>0</v>
      </c>
      <c r="F73" s="11">
        <v>0</v>
      </c>
      <c r="G73" s="11">
        <v>5.3784999999999996E-10</v>
      </c>
      <c r="H73" s="11">
        <v>0</v>
      </c>
    </row>
    <row r="74" spans="2:8" x14ac:dyDescent="0.25">
      <c r="B74">
        <v>64</v>
      </c>
      <c r="C74" s="11">
        <v>64</v>
      </c>
      <c r="D74">
        <v>293</v>
      </c>
      <c r="E74">
        <v>0</v>
      </c>
      <c r="F74" s="11">
        <v>0</v>
      </c>
      <c r="G74" s="11">
        <v>5.3477999999999999E-10</v>
      </c>
      <c r="H74" s="11">
        <v>0</v>
      </c>
    </row>
    <row r="75" spans="2:8" x14ac:dyDescent="0.25">
      <c r="B75">
        <v>65</v>
      </c>
      <c r="C75" s="11">
        <v>65</v>
      </c>
      <c r="D75">
        <v>291</v>
      </c>
      <c r="E75">
        <v>0</v>
      </c>
      <c r="F75" s="11">
        <v>0</v>
      </c>
      <c r="G75" s="11">
        <v>5.2636000000000003E-10</v>
      </c>
      <c r="H75" s="11">
        <v>0</v>
      </c>
    </row>
    <row r="76" spans="2:8" x14ac:dyDescent="0.25">
      <c r="B76">
        <v>66</v>
      </c>
      <c r="C76" s="11">
        <v>66</v>
      </c>
      <c r="D76">
        <v>289</v>
      </c>
      <c r="E76">
        <v>0</v>
      </c>
      <c r="F76" s="11">
        <v>0</v>
      </c>
      <c r="G76" s="11">
        <v>5.1961000000000003E-10</v>
      </c>
      <c r="H76" s="11">
        <v>0</v>
      </c>
    </row>
    <row r="77" spans="2:8" x14ac:dyDescent="0.25">
      <c r="B77">
        <v>67</v>
      </c>
      <c r="C77" s="11">
        <v>67</v>
      </c>
      <c r="D77">
        <v>287</v>
      </c>
      <c r="E77">
        <v>0</v>
      </c>
      <c r="F77" s="11">
        <v>0</v>
      </c>
      <c r="G77" s="11">
        <v>5.0758000000000002E-10</v>
      </c>
      <c r="H77" s="11">
        <v>0</v>
      </c>
    </row>
    <row r="78" spans="2:8" x14ac:dyDescent="0.25">
      <c r="B78">
        <v>68</v>
      </c>
      <c r="C78" s="11">
        <v>68</v>
      </c>
      <c r="D78">
        <v>285</v>
      </c>
      <c r="E78">
        <v>0</v>
      </c>
      <c r="F78" s="11">
        <v>0</v>
      </c>
      <c r="G78" s="11">
        <v>5.1553999999999996E-10</v>
      </c>
      <c r="H78" s="11">
        <v>0</v>
      </c>
    </row>
    <row r="79" spans="2:8" x14ac:dyDescent="0.25">
      <c r="B79">
        <v>69</v>
      </c>
      <c r="C79" s="11">
        <v>69</v>
      </c>
      <c r="D79">
        <v>283</v>
      </c>
      <c r="E79">
        <v>0</v>
      </c>
      <c r="F79" s="11">
        <v>0</v>
      </c>
      <c r="G79" s="11">
        <v>5.0548999999999998E-10</v>
      </c>
      <c r="H79" s="11">
        <v>0</v>
      </c>
    </row>
    <row r="80" spans="2:8" x14ac:dyDescent="0.25">
      <c r="B80">
        <v>70</v>
      </c>
      <c r="C80" s="11">
        <v>70</v>
      </c>
      <c r="D80">
        <v>281</v>
      </c>
      <c r="E80">
        <v>0</v>
      </c>
      <c r="F80" s="11">
        <v>0</v>
      </c>
      <c r="G80" s="11">
        <v>4.9361000000000001E-10</v>
      </c>
      <c r="H80" s="11">
        <v>0</v>
      </c>
    </row>
    <row r="81" spans="2:8" x14ac:dyDescent="0.25">
      <c r="B81">
        <v>71</v>
      </c>
      <c r="C81" s="11">
        <v>71</v>
      </c>
      <c r="D81">
        <v>279</v>
      </c>
      <c r="E81">
        <v>0</v>
      </c>
      <c r="F81" s="11">
        <v>0</v>
      </c>
      <c r="G81" s="11">
        <v>4.9872999999999999E-10</v>
      </c>
      <c r="H81" s="11">
        <v>0</v>
      </c>
    </row>
    <row r="82" spans="2:8" x14ac:dyDescent="0.25">
      <c r="B82">
        <v>73</v>
      </c>
      <c r="C82" s="11">
        <v>73</v>
      </c>
      <c r="D82">
        <v>275</v>
      </c>
      <c r="E82">
        <v>0</v>
      </c>
      <c r="F82" s="11">
        <v>0</v>
      </c>
      <c r="G82" s="11">
        <v>4.8616999999999999E-10</v>
      </c>
      <c r="H82" s="11">
        <v>0</v>
      </c>
    </row>
    <row r="83" spans="2:8" x14ac:dyDescent="0.25">
      <c r="B83">
        <v>75</v>
      </c>
      <c r="C83" s="11">
        <v>75</v>
      </c>
      <c r="D83">
        <v>271</v>
      </c>
      <c r="E83">
        <v>0</v>
      </c>
      <c r="F83" s="11">
        <v>0</v>
      </c>
      <c r="G83" s="11">
        <v>4.8077999999999997E-10</v>
      </c>
      <c r="H83" s="11">
        <v>0</v>
      </c>
    </row>
    <row r="84" spans="2:8" x14ac:dyDescent="0.25">
      <c r="B84">
        <v>77</v>
      </c>
      <c r="C84" s="11">
        <v>77</v>
      </c>
      <c r="D84">
        <v>267</v>
      </c>
      <c r="E84">
        <v>0</v>
      </c>
      <c r="F84" s="11">
        <v>0</v>
      </c>
      <c r="G84" s="11">
        <v>4.5992E-10</v>
      </c>
      <c r="H84" s="11">
        <v>0</v>
      </c>
    </row>
    <row r="85" spans="2:8" x14ac:dyDescent="0.25">
      <c r="B85">
        <v>79</v>
      </c>
      <c r="C85" s="11">
        <v>79</v>
      </c>
      <c r="D85">
        <v>263</v>
      </c>
      <c r="E85">
        <v>0</v>
      </c>
      <c r="F85" s="11">
        <v>0</v>
      </c>
      <c r="G85" s="11">
        <v>4.5944000000000002E-10</v>
      </c>
      <c r="H85" s="11">
        <v>0</v>
      </c>
    </row>
    <row r="86" spans="2:8" x14ac:dyDescent="0.25">
      <c r="B86">
        <v>81</v>
      </c>
      <c r="C86" s="11">
        <v>81</v>
      </c>
      <c r="D86">
        <v>259</v>
      </c>
      <c r="E86">
        <v>0</v>
      </c>
      <c r="F86" s="11">
        <v>0</v>
      </c>
      <c r="G86" s="11">
        <v>4.4917999999999999E-10</v>
      </c>
      <c r="H86" s="11">
        <v>0</v>
      </c>
    </row>
    <row r="87" spans="2:8" x14ac:dyDescent="0.25">
      <c r="B87">
        <v>83</v>
      </c>
      <c r="C87" s="11">
        <v>83</v>
      </c>
      <c r="D87">
        <v>255</v>
      </c>
      <c r="E87">
        <v>0</v>
      </c>
      <c r="F87" s="11">
        <v>0</v>
      </c>
      <c r="G87" s="11">
        <v>4.3908E-10</v>
      </c>
      <c r="H87" s="11">
        <v>0</v>
      </c>
    </row>
    <row r="88" spans="2:8" x14ac:dyDescent="0.25">
      <c r="B88">
        <v>85</v>
      </c>
      <c r="C88" s="11">
        <v>85</v>
      </c>
      <c r="D88">
        <v>251</v>
      </c>
      <c r="E88">
        <v>0</v>
      </c>
      <c r="F88" s="11">
        <v>0</v>
      </c>
      <c r="G88" s="11">
        <v>4.3981999999999999E-10</v>
      </c>
      <c r="H88" s="11">
        <v>0</v>
      </c>
    </row>
    <row r="89" spans="2:8" x14ac:dyDescent="0.25">
      <c r="B89">
        <v>87</v>
      </c>
      <c r="C89" s="11">
        <v>87</v>
      </c>
      <c r="D89">
        <v>247</v>
      </c>
      <c r="E89">
        <v>0</v>
      </c>
      <c r="F89" s="11">
        <v>0</v>
      </c>
      <c r="G89" s="11">
        <v>4.3664999999999999E-10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243</v>
      </c>
      <c r="E90">
        <v>0</v>
      </c>
      <c r="F90" s="11">
        <v>0</v>
      </c>
      <c r="G90" s="11">
        <v>4.3379000000000001E-10</v>
      </c>
      <c r="H90" s="11">
        <v>0</v>
      </c>
    </row>
    <row r="91" spans="2:8" x14ac:dyDescent="0.25">
      <c r="B91">
        <v>91</v>
      </c>
      <c r="C91" s="11">
        <v>91</v>
      </c>
      <c r="D91">
        <v>239</v>
      </c>
      <c r="E91">
        <v>0</v>
      </c>
      <c r="F91" s="11">
        <v>0</v>
      </c>
      <c r="G91" s="11">
        <v>4.2712000000000002E-10</v>
      </c>
      <c r="H91" s="11">
        <v>0</v>
      </c>
    </row>
    <row r="92" spans="2:8" x14ac:dyDescent="0.25">
      <c r="B92">
        <v>93</v>
      </c>
      <c r="C92" s="11">
        <v>93</v>
      </c>
      <c r="D92">
        <v>235</v>
      </c>
      <c r="E92">
        <v>0</v>
      </c>
      <c r="F92" s="11">
        <v>0</v>
      </c>
      <c r="G92" s="11">
        <v>4.3141999999999999E-10</v>
      </c>
      <c r="H92" s="11">
        <v>0</v>
      </c>
    </row>
    <row r="93" spans="2:8" x14ac:dyDescent="0.25">
      <c r="B93">
        <v>95</v>
      </c>
      <c r="C93" s="11">
        <v>95</v>
      </c>
      <c r="D93">
        <v>231</v>
      </c>
      <c r="E93">
        <v>0</v>
      </c>
      <c r="F93" s="11">
        <v>0</v>
      </c>
      <c r="G93" s="11">
        <v>4.2866E-10</v>
      </c>
      <c r="H93" s="11">
        <v>0</v>
      </c>
    </row>
    <row r="94" spans="2:8" x14ac:dyDescent="0.25">
      <c r="B94">
        <v>97</v>
      </c>
      <c r="C94" s="11">
        <v>97</v>
      </c>
      <c r="D94">
        <v>227</v>
      </c>
      <c r="E94">
        <v>0</v>
      </c>
      <c r="F94" s="11">
        <v>0</v>
      </c>
      <c r="G94" s="11">
        <v>4.2865000000000001E-10</v>
      </c>
      <c r="H94" s="11">
        <v>0</v>
      </c>
    </row>
    <row r="95" spans="2:8" x14ac:dyDescent="0.25">
      <c r="B95">
        <v>99</v>
      </c>
      <c r="C95" s="11">
        <v>99</v>
      </c>
      <c r="D95">
        <v>223</v>
      </c>
      <c r="E95">
        <v>0</v>
      </c>
      <c r="F95" s="11">
        <v>0</v>
      </c>
      <c r="G95" s="11">
        <v>4.3179000000000002E-10</v>
      </c>
      <c r="H95" s="11">
        <v>0</v>
      </c>
    </row>
    <row r="96" spans="2:8" x14ac:dyDescent="0.25">
      <c r="B96">
        <v>101</v>
      </c>
      <c r="C96" s="11">
        <v>101</v>
      </c>
      <c r="D96">
        <v>219</v>
      </c>
      <c r="E96">
        <v>0</v>
      </c>
      <c r="F96" s="11">
        <v>0</v>
      </c>
      <c r="G96" s="11">
        <v>4.2516000000000001E-10</v>
      </c>
      <c r="H96" s="11">
        <v>0</v>
      </c>
    </row>
    <row r="97" spans="2:8" x14ac:dyDescent="0.25">
      <c r="B97">
        <v>103</v>
      </c>
      <c r="C97" s="11">
        <v>103</v>
      </c>
      <c r="D97">
        <v>215</v>
      </c>
      <c r="E97">
        <v>0</v>
      </c>
      <c r="F97" s="11">
        <v>0</v>
      </c>
      <c r="G97" s="11">
        <v>4.2472000000000001E-10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47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-3.0000810000000003E-4</v>
      </c>
    </row>
    <row r="4" spans="2:12" x14ac:dyDescent="0.25">
      <c r="B4" t="s">
        <v>29</v>
      </c>
      <c r="C4" t="s">
        <v>28</v>
      </c>
      <c r="D4" s="11">
        <v>-3.0006199999999997E-4</v>
      </c>
    </row>
    <row r="5" spans="2:12" x14ac:dyDescent="0.25">
      <c r="B5" t="s">
        <v>30</v>
      </c>
      <c r="C5" t="s">
        <v>28</v>
      </c>
      <c r="D5" s="11">
        <v>-3.0003540000000001E-4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1.24E-8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6.7314000000000001E-9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2</v>
      </c>
      <c r="F13" s="11">
        <v>0</v>
      </c>
      <c r="G13" s="11">
        <v>4.6827E-9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2</v>
      </c>
      <c r="F14" s="11">
        <v>0</v>
      </c>
      <c r="G14" s="11">
        <v>3.9004999999999999E-9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2</v>
      </c>
      <c r="F15" s="11">
        <v>0</v>
      </c>
      <c r="G15" s="11">
        <v>2.8029999999999999E-9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1</v>
      </c>
      <c r="F16" s="11">
        <v>0</v>
      </c>
      <c r="G16" s="11">
        <v>2.3942999999999999E-9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1.8195E-9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0</v>
      </c>
      <c r="F18" s="11">
        <v>0</v>
      </c>
      <c r="G18" s="11">
        <v>1.9472000000000001E-9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1</v>
      </c>
      <c r="F19" s="11">
        <v>0</v>
      </c>
      <c r="G19" s="11">
        <v>1.7282000000000001E-9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0</v>
      </c>
      <c r="F20" s="11">
        <v>0</v>
      </c>
      <c r="G20" s="11">
        <v>1.4984999999999999E-9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1</v>
      </c>
      <c r="F21" s="11">
        <v>0</v>
      </c>
      <c r="G21" s="11">
        <v>1.4754999999999999E-9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1</v>
      </c>
      <c r="F22" s="11">
        <v>0</v>
      </c>
      <c r="G22" s="11">
        <v>1.3701000000000001E-9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0</v>
      </c>
      <c r="F23" s="11">
        <v>0</v>
      </c>
      <c r="G23" s="11">
        <v>1.2764000000000001E-9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1.1822999999999999E-9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1.1879E-9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1</v>
      </c>
      <c r="F26" s="11">
        <v>0</v>
      </c>
      <c r="G26" s="11">
        <v>1.064E-9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9.8609999999999993E-10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1</v>
      </c>
      <c r="F28" s="11">
        <v>0</v>
      </c>
      <c r="G28" s="11">
        <v>1.0035999999999999E-9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0</v>
      </c>
      <c r="F29" s="11">
        <v>0</v>
      </c>
      <c r="G29" s="11">
        <v>9.3455999999999992E-10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8.8751999999999995E-10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8.6048000000000001E-10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0</v>
      </c>
      <c r="F32" s="11">
        <v>0</v>
      </c>
      <c r="G32" s="11">
        <v>8.6283000000000001E-10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0</v>
      </c>
      <c r="F33" s="11">
        <v>0</v>
      </c>
      <c r="G33" s="11">
        <v>8.4727999999999999E-10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8.0400000000000002E-10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8.1498999999999999E-10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7.9017999999999995E-10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7.5129999999999998E-10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7.4330000000000001E-10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7.1559999999999999E-10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1</v>
      </c>
      <c r="F40" s="11">
        <v>0</v>
      </c>
      <c r="G40" s="11">
        <v>6.9532000000000003E-10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6.8238999999999996E-10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6.7451999999999996E-10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6.6052000000000001E-10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6.3529999999999997E-10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6.2563000000000004E-10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5.9677E-10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5.8655999999999999E-10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5.8232000000000001E-10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5.6202999999999997E-10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5.5361000000000001E-10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5.2835000000000004E-10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5.1949000000000003E-10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5.1093000000000001E-10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5.0229000000000003E-10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0</v>
      </c>
      <c r="F55" s="11">
        <v>0</v>
      </c>
      <c r="G55" s="11">
        <v>5.1381999999999999E-10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4.9568999999999997E-10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4.9473999999999999E-10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1</v>
      </c>
      <c r="F58" s="11">
        <v>0</v>
      </c>
      <c r="G58" s="11">
        <v>4.9820999999999998E-10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4.8475999999999999E-10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4.7969000000000003E-10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4.8229E-10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4.8522999999999999E-10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4.8105000000000001E-10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4.8003000000000005E-10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4.8553999999999996E-10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4.8247999999999997E-10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4.8018999999999997E-10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4.8691000000000003E-10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4.7829000000000001E-10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4.7288000000000003E-10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4.7377000000000001E-10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4.7516000000000004E-10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4.7823999999999999E-10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4.7394000000000002E-10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4.8721000000000002E-10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4.8209000000000004E-10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4.7428000000000004E-10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4.8622999999999998E-10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4.8217E-10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4.8418999999999996E-10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4.8510999999999999E-10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4.8711999999999997E-10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4.9328999999999996E-10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4.9309E-10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4.8962999999999999E-10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4.8104000000000003E-10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4.8228000000000001E-10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4.7634000000000003E-10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4.7154999999999999E-10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4.6044000000000001E-10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4.5050999999999998E-10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4.4647999999999999E-10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4.3831999999999999E-10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4.3133E-10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4.2267E-10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4.1272E-10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4.0880000000000003E-10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workbookViewId="0"/>
  </sheetViews>
  <sheetFormatPr defaultRowHeight="15" x14ac:dyDescent="0.25"/>
  <sheetData>
    <row r="1" spans="2:12" x14ac:dyDescent="0.25">
      <c r="B1" t="s">
        <v>15</v>
      </c>
      <c r="C1" t="s">
        <v>16</v>
      </c>
      <c r="D1" t="s">
        <v>17</v>
      </c>
      <c r="E1">
        <v>-300</v>
      </c>
      <c r="F1" t="s">
        <v>49</v>
      </c>
      <c r="G1" t="s">
        <v>19</v>
      </c>
      <c r="H1">
        <v>20</v>
      </c>
      <c r="I1" t="s">
        <v>20</v>
      </c>
      <c r="J1">
        <v>2023</v>
      </c>
      <c r="K1" t="s">
        <v>21</v>
      </c>
      <c r="L1" t="s">
        <v>48</v>
      </c>
    </row>
    <row r="2" spans="2:12" x14ac:dyDescent="0.25">
      <c r="B2" t="s">
        <v>50</v>
      </c>
      <c r="C2" t="s">
        <v>23</v>
      </c>
      <c r="D2" t="s">
        <v>24</v>
      </c>
      <c r="E2">
        <v>1</v>
      </c>
      <c r="F2" t="s">
        <v>25</v>
      </c>
      <c r="G2">
        <v>419</v>
      </c>
      <c r="H2" t="s">
        <v>26</v>
      </c>
      <c r="I2">
        <v>419</v>
      </c>
    </row>
    <row r="3" spans="2:12" x14ac:dyDescent="0.25">
      <c r="B3" t="s">
        <v>27</v>
      </c>
      <c r="C3" t="s">
        <v>28</v>
      </c>
      <c r="D3" s="11">
        <v>-3.0000950000000001E-4</v>
      </c>
    </row>
    <row r="4" spans="2:12" x14ac:dyDescent="0.25">
      <c r="B4" t="s">
        <v>29</v>
      </c>
      <c r="C4" t="s">
        <v>28</v>
      </c>
      <c r="D4" s="11">
        <v>-3.0006420000000002E-4</v>
      </c>
    </row>
    <row r="5" spans="2:12" x14ac:dyDescent="0.25">
      <c r="B5" t="s">
        <v>30</v>
      </c>
      <c r="C5" t="s">
        <v>28</v>
      </c>
      <c r="D5" s="11">
        <v>-3.0003709999999999E-4</v>
      </c>
    </row>
    <row r="6" spans="2:12" x14ac:dyDescent="0.25">
      <c r="B6" t="s">
        <v>31</v>
      </c>
      <c r="C6" t="s">
        <v>32</v>
      </c>
      <c r="D6" t="s">
        <v>33</v>
      </c>
      <c r="E6" t="s">
        <v>34</v>
      </c>
    </row>
    <row r="7" spans="2:12" x14ac:dyDescent="0.25">
      <c r="B7" t="s">
        <v>35</v>
      </c>
      <c r="C7" t="s">
        <v>36</v>
      </c>
      <c r="D7" t="s">
        <v>28</v>
      </c>
      <c r="E7">
        <v>0.68300000000000005</v>
      </c>
    </row>
    <row r="8" spans="2:12" x14ac:dyDescent="0.25">
      <c r="B8" t="s">
        <v>37</v>
      </c>
      <c r="C8" t="s">
        <v>38</v>
      </c>
      <c r="D8" t="s">
        <v>28</v>
      </c>
      <c r="E8">
        <v>1</v>
      </c>
    </row>
    <row r="10" spans="2:12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31</v>
      </c>
      <c r="H10" t="s">
        <v>31</v>
      </c>
      <c r="I10" t="s">
        <v>44</v>
      </c>
      <c r="J10" t="s">
        <v>31</v>
      </c>
    </row>
    <row r="11" spans="2:12" x14ac:dyDescent="0.25">
      <c r="B11">
        <v>1</v>
      </c>
      <c r="C11" s="11">
        <v>1</v>
      </c>
      <c r="D11">
        <v>418</v>
      </c>
      <c r="E11">
        <v>1</v>
      </c>
      <c r="F11" s="11">
        <v>0</v>
      </c>
      <c r="G11" s="11">
        <v>1.3238000000000001E-8</v>
      </c>
      <c r="H11" s="11">
        <v>0</v>
      </c>
    </row>
    <row r="12" spans="2:12" x14ac:dyDescent="0.25">
      <c r="B12">
        <v>2</v>
      </c>
      <c r="C12" s="11">
        <v>2</v>
      </c>
      <c r="D12">
        <v>416</v>
      </c>
      <c r="E12">
        <v>1</v>
      </c>
      <c r="F12" s="11">
        <v>0</v>
      </c>
      <c r="G12" s="11">
        <v>7.6854000000000008E-9</v>
      </c>
      <c r="H12" s="11">
        <v>0</v>
      </c>
    </row>
    <row r="13" spans="2:12" x14ac:dyDescent="0.25">
      <c r="B13">
        <v>3</v>
      </c>
      <c r="C13" s="11">
        <v>3</v>
      </c>
      <c r="D13">
        <v>414</v>
      </c>
      <c r="E13">
        <v>1</v>
      </c>
      <c r="F13" s="11">
        <v>0</v>
      </c>
      <c r="G13" s="11">
        <v>6.1466000000000003E-9</v>
      </c>
      <c r="H13" s="11">
        <v>0</v>
      </c>
    </row>
    <row r="14" spans="2:12" x14ac:dyDescent="0.25">
      <c r="B14">
        <v>4</v>
      </c>
      <c r="C14" s="11">
        <v>4</v>
      </c>
      <c r="D14">
        <v>412</v>
      </c>
      <c r="E14">
        <v>2</v>
      </c>
      <c r="F14" s="11">
        <v>0</v>
      </c>
      <c r="G14" s="11">
        <v>5.2167999999999996E-9</v>
      </c>
      <c r="H14" s="11">
        <v>0</v>
      </c>
    </row>
    <row r="15" spans="2:12" x14ac:dyDescent="0.25">
      <c r="B15">
        <v>5</v>
      </c>
      <c r="C15" s="11">
        <v>5</v>
      </c>
      <c r="D15">
        <v>410</v>
      </c>
      <c r="E15">
        <v>1</v>
      </c>
      <c r="F15" s="11">
        <v>0</v>
      </c>
      <c r="G15" s="11">
        <v>4.3236999999999999E-9</v>
      </c>
      <c r="H15" s="11">
        <v>0</v>
      </c>
    </row>
    <row r="16" spans="2:12" x14ac:dyDescent="0.25">
      <c r="B16">
        <v>6</v>
      </c>
      <c r="C16" s="11">
        <v>6</v>
      </c>
      <c r="D16">
        <v>408</v>
      </c>
      <c r="E16">
        <v>0</v>
      </c>
      <c r="F16" s="11">
        <v>0</v>
      </c>
      <c r="G16" s="11">
        <v>3.6546000000000002E-9</v>
      </c>
      <c r="H16" s="11">
        <v>0</v>
      </c>
    </row>
    <row r="17" spans="2:8" x14ac:dyDescent="0.25">
      <c r="B17">
        <v>7</v>
      </c>
      <c r="C17" s="11">
        <v>7</v>
      </c>
      <c r="D17">
        <v>406</v>
      </c>
      <c r="E17">
        <v>0</v>
      </c>
      <c r="F17" s="11">
        <v>0</v>
      </c>
      <c r="G17" s="11">
        <v>2.8271999999999999E-9</v>
      </c>
      <c r="H17" s="11">
        <v>0</v>
      </c>
    </row>
    <row r="18" spans="2:8" x14ac:dyDescent="0.25">
      <c r="B18">
        <v>8</v>
      </c>
      <c r="C18" s="11">
        <v>8</v>
      </c>
      <c r="D18">
        <v>404</v>
      </c>
      <c r="E18">
        <v>1</v>
      </c>
      <c r="F18" s="11">
        <v>0</v>
      </c>
      <c r="G18" s="11">
        <v>2.8213000000000002E-9</v>
      </c>
      <c r="H18" s="11">
        <v>0</v>
      </c>
    </row>
    <row r="19" spans="2:8" x14ac:dyDescent="0.25">
      <c r="B19">
        <v>9</v>
      </c>
      <c r="C19" s="11">
        <v>9</v>
      </c>
      <c r="D19">
        <v>402</v>
      </c>
      <c r="E19">
        <v>1</v>
      </c>
      <c r="F19" s="11">
        <v>0</v>
      </c>
      <c r="G19" s="11">
        <v>2.4146999999999999E-9</v>
      </c>
      <c r="H19" s="11">
        <v>0</v>
      </c>
    </row>
    <row r="20" spans="2:8" x14ac:dyDescent="0.25">
      <c r="B20">
        <v>10</v>
      </c>
      <c r="C20" s="11">
        <v>10</v>
      </c>
      <c r="D20">
        <v>400</v>
      </c>
      <c r="E20">
        <v>1</v>
      </c>
      <c r="F20" s="11">
        <v>0</v>
      </c>
      <c r="G20" s="11">
        <v>2.1599E-9</v>
      </c>
      <c r="H20" s="11">
        <v>0</v>
      </c>
    </row>
    <row r="21" spans="2:8" x14ac:dyDescent="0.25">
      <c r="B21">
        <v>11</v>
      </c>
      <c r="C21" s="11">
        <v>11</v>
      </c>
      <c r="D21">
        <v>398</v>
      </c>
      <c r="E21">
        <v>1</v>
      </c>
      <c r="F21" s="11">
        <v>0</v>
      </c>
      <c r="G21" s="11">
        <v>2.1244999999999998E-9</v>
      </c>
      <c r="H21" s="11">
        <v>0</v>
      </c>
    </row>
    <row r="22" spans="2:8" x14ac:dyDescent="0.25">
      <c r="B22">
        <v>12</v>
      </c>
      <c r="C22" s="11">
        <v>12</v>
      </c>
      <c r="D22">
        <v>396</v>
      </c>
      <c r="E22">
        <v>1</v>
      </c>
      <c r="F22" s="11">
        <v>0</v>
      </c>
      <c r="G22" s="11">
        <v>2.0295000000000001E-9</v>
      </c>
      <c r="H22" s="11">
        <v>0</v>
      </c>
    </row>
    <row r="23" spans="2:8" x14ac:dyDescent="0.25">
      <c r="B23">
        <v>13</v>
      </c>
      <c r="C23" s="11">
        <v>13</v>
      </c>
      <c r="D23">
        <v>394</v>
      </c>
      <c r="E23">
        <v>1</v>
      </c>
      <c r="F23" s="11">
        <v>0</v>
      </c>
      <c r="G23" s="11">
        <v>1.9079E-9</v>
      </c>
      <c r="H23" s="11">
        <v>0</v>
      </c>
    </row>
    <row r="24" spans="2:8" x14ac:dyDescent="0.25">
      <c r="B24">
        <v>14</v>
      </c>
      <c r="C24" s="11">
        <v>14</v>
      </c>
      <c r="D24">
        <v>392</v>
      </c>
      <c r="E24">
        <v>0</v>
      </c>
      <c r="F24" s="11">
        <v>0</v>
      </c>
      <c r="G24" s="11">
        <v>1.7660999999999999E-9</v>
      </c>
      <c r="H24" s="11">
        <v>0</v>
      </c>
    </row>
    <row r="25" spans="2:8" x14ac:dyDescent="0.25">
      <c r="B25">
        <v>15</v>
      </c>
      <c r="C25" s="11">
        <v>15</v>
      </c>
      <c r="D25">
        <v>390</v>
      </c>
      <c r="E25">
        <v>0</v>
      </c>
      <c r="F25" s="11">
        <v>0</v>
      </c>
      <c r="G25" s="11">
        <v>1.7467E-9</v>
      </c>
      <c r="H25" s="11">
        <v>0</v>
      </c>
    </row>
    <row r="26" spans="2:8" x14ac:dyDescent="0.25">
      <c r="B26">
        <v>16</v>
      </c>
      <c r="C26" s="11">
        <v>16</v>
      </c>
      <c r="D26">
        <v>388</v>
      </c>
      <c r="E26">
        <v>0</v>
      </c>
      <c r="F26" s="11">
        <v>0</v>
      </c>
      <c r="G26" s="11">
        <v>1.6058E-9</v>
      </c>
      <c r="H26" s="11">
        <v>0</v>
      </c>
    </row>
    <row r="27" spans="2:8" x14ac:dyDescent="0.25">
      <c r="B27">
        <v>17</v>
      </c>
      <c r="C27" s="11">
        <v>17</v>
      </c>
      <c r="D27">
        <v>386</v>
      </c>
      <c r="E27">
        <v>0</v>
      </c>
      <c r="F27" s="11">
        <v>0</v>
      </c>
      <c r="G27" s="11">
        <v>1.4968E-9</v>
      </c>
      <c r="H27" s="11">
        <v>0</v>
      </c>
    </row>
    <row r="28" spans="2:8" x14ac:dyDescent="0.25">
      <c r="B28">
        <v>18</v>
      </c>
      <c r="C28" s="11">
        <v>18</v>
      </c>
      <c r="D28">
        <v>384</v>
      </c>
      <c r="E28">
        <v>0</v>
      </c>
      <c r="F28" s="11">
        <v>0</v>
      </c>
      <c r="G28" s="11">
        <v>1.4346E-9</v>
      </c>
      <c r="H28" s="11">
        <v>0</v>
      </c>
    </row>
    <row r="29" spans="2:8" x14ac:dyDescent="0.25">
      <c r="B29">
        <v>19</v>
      </c>
      <c r="C29" s="11">
        <v>19</v>
      </c>
      <c r="D29">
        <v>382</v>
      </c>
      <c r="E29">
        <v>2</v>
      </c>
      <c r="F29" s="11">
        <v>0</v>
      </c>
      <c r="G29" s="11">
        <v>1.3986999999999999E-9</v>
      </c>
      <c r="H29" s="11">
        <v>0</v>
      </c>
    </row>
    <row r="30" spans="2:8" x14ac:dyDescent="0.25">
      <c r="B30">
        <v>20</v>
      </c>
      <c r="C30" s="11">
        <v>20</v>
      </c>
      <c r="D30">
        <v>380</v>
      </c>
      <c r="E30">
        <v>0</v>
      </c>
      <c r="F30" s="11">
        <v>0</v>
      </c>
      <c r="G30" s="11">
        <v>1.3307E-9</v>
      </c>
      <c r="H30" s="11">
        <v>0</v>
      </c>
    </row>
    <row r="31" spans="2:8" x14ac:dyDescent="0.25">
      <c r="B31">
        <v>21</v>
      </c>
      <c r="C31" s="11">
        <v>21</v>
      </c>
      <c r="D31">
        <v>378</v>
      </c>
      <c r="E31">
        <v>0</v>
      </c>
      <c r="F31" s="11">
        <v>0</v>
      </c>
      <c r="G31" s="11">
        <v>1.2337E-9</v>
      </c>
      <c r="H31" s="11">
        <v>0</v>
      </c>
    </row>
    <row r="32" spans="2:8" x14ac:dyDescent="0.25">
      <c r="B32">
        <v>22</v>
      </c>
      <c r="C32" s="11">
        <v>22</v>
      </c>
      <c r="D32">
        <v>376</v>
      </c>
      <c r="E32">
        <v>1</v>
      </c>
      <c r="F32" s="11">
        <v>0</v>
      </c>
      <c r="G32" s="11">
        <v>1.1549E-9</v>
      </c>
      <c r="H32" s="11">
        <v>0</v>
      </c>
    </row>
    <row r="33" spans="2:8" x14ac:dyDescent="0.25">
      <c r="B33">
        <v>23</v>
      </c>
      <c r="C33" s="11">
        <v>23</v>
      </c>
      <c r="D33">
        <v>374</v>
      </c>
      <c r="E33">
        <v>1</v>
      </c>
      <c r="F33" s="11">
        <v>0</v>
      </c>
      <c r="G33" s="11">
        <v>1.0356E-9</v>
      </c>
      <c r="H33" s="11">
        <v>0</v>
      </c>
    </row>
    <row r="34" spans="2:8" x14ac:dyDescent="0.25">
      <c r="B34">
        <v>24</v>
      </c>
      <c r="C34" s="11">
        <v>24</v>
      </c>
      <c r="D34">
        <v>372</v>
      </c>
      <c r="E34">
        <v>0</v>
      </c>
      <c r="F34" s="11">
        <v>0</v>
      </c>
      <c r="G34" s="11">
        <v>1.0076999999999999E-9</v>
      </c>
      <c r="H34" s="11">
        <v>0</v>
      </c>
    </row>
    <row r="35" spans="2:8" x14ac:dyDescent="0.25">
      <c r="B35">
        <v>25</v>
      </c>
      <c r="C35" s="11">
        <v>25</v>
      </c>
      <c r="D35">
        <v>370</v>
      </c>
      <c r="E35">
        <v>0</v>
      </c>
      <c r="F35" s="11">
        <v>0</v>
      </c>
      <c r="G35" s="11">
        <v>9.7478000000000002E-10</v>
      </c>
      <c r="H35" s="11">
        <v>0</v>
      </c>
    </row>
    <row r="36" spans="2:8" x14ac:dyDescent="0.25">
      <c r="B36">
        <v>26</v>
      </c>
      <c r="C36" s="11">
        <v>26</v>
      </c>
      <c r="D36">
        <v>368</v>
      </c>
      <c r="E36">
        <v>0</v>
      </c>
      <c r="F36" s="11">
        <v>0</v>
      </c>
      <c r="G36" s="11">
        <v>9.5965000000000009E-10</v>
      </c>
      <c r="H36" s="11">
        <v>0</v>
      </c>
    </row>
    <row r="37" spans="2:8" x14ac:dyDescent="0.25">
      <c r="B37">
        <v>27</v>
      </c>
      <c r="C37" s="11">
        <v>27</v>
      </c>
      <c r="D37">
        <v>366</v>
      </c>
      <c r="E37">
        <v>0</v>
      </c>
      <c r="F37" s="11">
        <v>0</v>
      </c>
      <c r="G37" s="11">
        <v>9.4564999999999993E-10</v>
      </c>
      <c r="H37" s="11">
        <v>0</v>
      </c>
    </row>
    <row r="38" spans="2:8" x14ac:dyDescent="0.25">
      <c r="B38">
        <v>28</v>
      </c>
      <c r="C38" s="11">
        <v>28</v>
      </c>
      <c r="D38">
        <v>364</v>
      </c>
      <c r="E38">
        <v>0</v>
      </c>
      <c r="F38" s="11">
        <v>0</v>
      </c>
      <c r="G38" s="11">
        <v>8.9976999999999999E-10</v>
      </c>
      <c r="H38" s="11">
        <v>0</v>
      </c>
    </row>
    <row r="39" spans="2:8" x14ac:dyDescent="0.25">
      <c r="B39">
        <v>29</v>
      </c>
      <c r="C39" s="11">
        <v>29</v>
      </c>
      <c r="D39">
        <v>362</v>
      </c>
      <c r="E39">
        <v>0</v>
      </c>
      <c r="F39" s="11">
        <v>0</v>
      </c>
      <c r="G39" s="11">
        <v>8.4874000000000001E-10</v>
      </c>
      <c r="H39" s="11">
        <v>0</v>
      </c>
    </row>
    <row r="40" spans="2:8" x14ac:dyDescent="0.25">
      <c r="B40">
        <v>30</v>
      </c>
      <c r="C40" s="11">
        <v>30</v>
      </c>
      <c r="D40">
        <v>360</v>
      </c>
      <c r="E40">
        <v>0</v>
      </c>
      <c r="F40" s="11">
        <v>0</v>
      </c>
      <c r="G40" s="11">
        <v>8.0213E-10</v>
      </c>
      <c r="H40" s="11">
        <v>0</v>
      </c>
    </row>
    <row r="41" spans="2:8" x14ac:dyDescent="0.25">
      <c r="B41">
        <v>31</v>
      </c>
      <c r="C41" s="11">
        <v>31</v>
      </c>
      <c r="D41">
        <v>358</v>
      </c>
      <c r="E41">
        <v>0</v>
      </c>
      <c r="F41" s="11">
        <v>0</v>
      </c>
      <c r="G41" s="11">
        <v>7.7910000000000003E-10</v>
      </c>
      <c r="H41" s="11">
        <v>0</v>
      </c>
    </row>
    <row r="42" spans="2:8" x14ac:dyDescent="0.25">
      <c r="B42">
        <v>32</v>
      </c>
      <c r="C42" s="11">
        <v>32</v>
      </c>
      <c r="D42">
        <v>356</v>
      </c>
      <c r="E42">
        <v>0</v>
      </c>
      <c r="F42" s="11">
        <v>0</v>
      </c>
      <c r="G42" s="11">
        <v>7.7329000000000003E-10</v>
      </c>
      <c r="H42" s="11">
        <v>0</v>
      </c>
    </row>
    <row r="43" spans="2:8" x14ac:dyDescent="0.25">
      <c r="B43">
        <v>33</v>
      </c>
      <c r="C43" s="11">
        <v>33</v>
      </c>
      <c r="D43">
        <v>354</v>
      </c>
      <c r="E43">
        <v>0</v>
      </c>
      <c r="F43" s="11">
        <v>0</v>
      </c>
      <c r="G43" s="11">
        <v>7.6902999999999998E-10</v>
      </c>
      <c r="H43" s="11">
        <v>0</v>
      </c>
    </row>
    <row r="44" spans="2:8" x14ac:dyDescent="0.25">
      <c r="B44">
        <v>34</v>
      </c>
      <c r="C44" s="11">
        <v>34</v>
      </c>
      <c r="D44">
        <v>352</v>
      </c>
      <c r="E44">
        <v>0</v>
      </c>
      <c r="F44" s="11">
        <v>0</v>
      </c>
      <c r="G44" s="11">
        <v>7.7734000000000003E-10</v>
      </c>
      <c r="H44" s="11">
        <v>0</v>
      </c>
    </row>
    <row r="45" spans="2:8" x14ac:dyDescent="0.25">
      <c r="B45">
        <v>35</v>
      </c>
      <c r="C45" s="11">
        <v>35</v>
      </c>
      <c r="D45">
        <v>350</v>
      </c>
      <c r="E45">
        <v>0</v>
      </c>
      <c r="F45" s="11">
        <v>0</v>
      </c>
      <c r="G45" s="11">
        <v>7.6397E-10</v>
      </c>
      <c r="H45" s="11">
        <v>0</v>
      </c>
    </row>
    <row r="46" spans="2:8" x14ac:dyDescent="0.25">
      <c r="B46">
        <v>36</v>
      </c>
      <c r="C46" s="11">
        <v>36</v>
      </c>
      <c r="D46">
        <v>348</v>
      </c>
      <c r="E46">
        <v>0</v>
      </c>
      <c r="F46" s="11">
        <v>0</v>
      </c>
      <c r="G46" s="11">
        <v>7.5881999999999997E-10</v>
      </c>
      <c r="H46" s="11">
        <v>0</v>
      </c>
    </row>
    <row r="47" spans="2:8" x14ac:dyDescent="0.25">
      <c r="B47">
        <v>37</v>
      </c>
      <c r="C47" s="11">
        <v>37</v>
      </c>
      <c r="D47">
        <v>346</v>
      </c>
      <c r="E47">
        <v>0</v>
      </c>
      <c r="F47" s="11">
        <v>0</v>
      </c>
      <c r="G47" s="11">
        <v>7.2537000000000005E-10</v>
      </c>
      <c r="H47" s="11">
        <v>0</v>
      </c>
    </row>
    <row r="48" spans="2:8" x14ac:dyDescent="0.25">
      <c r="B48">
        <v>38</v>
      </c>
      <c r="C48" s="11">
        <v>38</v>
      </c>
      <c r="D48">
        <v>344</v>
      </c>
      <c r="E48">
        <v>0</v>
      </c>
      <c r="F48" s="11">
        <v>0</v>
      </c>
      <c r="G48" s="11">
        <v>6.6963999999999997E-10</v>
      </c>
      <c r="H48" s="11">
        <v>0</v>
      </c>
    </row>
    <row r="49" spans="2:8" x14ac:dyDescent="0.25">
      <c r="B49">
        <v>39</v>
      </c>
      <c r="C49" s="11">
        <v>39</v>
      </c>
      <c r="D49">
        <v>342</v>
      </c>
      <c r="E49">
        <v>0</v>
      </c>
      <c r="F49" s="11">
        <v>0</v>
      </c>
      <c r="G49" s="11">
        <v>6.5375000000000004E-10</v>
      </c>
      <c r="H49" s="11">
        <v>0</v>
      </c>
    </row>
    <row r="50" spans="2:8" x14ac:dyDescent="0.25">
      <c r="B50">
        <v>40</v>
      </c>
      <c r="C50" s="11">
        <v>40</v>
      </c>
      <c r="D50">
        <v>340</v>
      </c>
      <c r="E50">
        <v>0</v>
      </c>
      <c r="F50" s="11">
        <v>0</v>
      </c>
      <c r="G50" s="11">
        <v>6.3170999999999998E-10</v>
      </c>
      <c r="H50" s="11">
        <v>0</v>
      </c>
    </row>
    <row r="51" spans="2:8" x14ac:dyDescent="0.25">
      <c r="B51">
        <v>41</v>
      </c>
      <c r="C51" s="11">
        <v>41</v>
      </c>
      <c r="D51">
        <v>338</v>
      </c>
      <c r="E51">
        <v>0</v>
      </c>
      <c r="F51" s="11">
        <v>0</v>
      </c>
      <c r="G51" s="11">
        <v>6.1925000000000001E-10</v>
      </c>
      <c r="H51" s="11">
        <v>0</v>
      </c>
    </row>
    <row r="52" spans="2:8" x14ac:dyDescent="0.25">
      <c r="B52">
        <v>42</v>
      </c>
      <c r="C52" s="11">
        <v>42</v>
      </c>
      <c r="D52">
        <v>336</v>
      </c>
      <c r="E52">
        <v>0</v>
      </c>
      <c r="F52" s="11">
        <v>0</v>
      </c>
      <c r="G52" s="11">
        <v>5.9745000000000004E-10</v>
      </c>
      <c r="H52" s="11">
        <v>0</v>
      </c>
    </row>
    <row r="53" spans="2:8" x14ac:dyDescent="0.25">
      <c r="B53">
        <v>43</v>
      </c>
      <c r="C53" s="11">
        <v>43</v>
      </c>
      <c r="D53">
        <v>334</v>
      </c>
      <c r="E53">
        <v>0</v>
      </c>
      <c r="F53" s="11">
        <v>0</v>
      </c>
      <c r="G53" s="11">
        <v>6.1373999999999999E-10</v>
      </c>
      <c r="H53" s="11">
        <v>0</v>
      </c>
    </row>
    <row r="54" spans="2:8" x14ac:dyDescent="0.25">
      <c r="B54">
        <v>44</v>
      </c>
      <c r="C54" s="11">
        <v>44</v>
      </c>
      <c r="D54">
        <v>332</v>
      </c>
      <c r="E54">
        <v>0</v>
      </c>
      <c r="F54" s="11">
        <v>0</v>
      </c>
      <c r="G54" s="11">
        <v>6.0790000000000004E-10</v>
      </c>
      <c r="H54" s="11">
        <v>0</v>
      </c>
    </row>
    <row r="55" spans="2:8" x14ac:dyDescent="0.25">
      <c r="B55">
        <v>45</v>
      </c>
      <c r="C55" s="11">
        <v>45</v>
      </c>
      <c r="D55">
        <v>330</v>
      </c>
      <c r="E55">
        <v>-1</v>
      </c>
      <c r="F55" s="11">
        <v>0</v>
      </c>
      <c r="G55" s="11">
        <v>5.9078999999999998E-10</v>
      </c>
      <c r="H55" s="11">
        <v>0</v>
      </c>
    </row>
    <row r="56" spans="2:8" x14ac:dyDescent="0.25">
      <c r="B56">
        <v>46</v>
      </c>
      <c r="C56" s="11">
        <v>46</v>
      </c>
      <c r="D56">
        <v>328</v>
      </c>
      <c r="E56">
        <v>0</v>
      </c>
      <c r="F56" s="11">
        <v>0</v>
      </c>
      <c r="G56" s="11">
        <v>5.9242000000000001E-10</v>
      </c>
      <c r="H56" s="11">
        <v>0</v>
      </c>
    </row>
    <row r="57" spans="2:8" x14ac:dyDescent="0.25">
      <c r="B57">
        <v>47</v>
      </c>
      <c r="C57" s="11">
        <v>47</v>
      </c>
      <c r="D57">
        <v>326</v>
      </c>
      <c r="E57">
        <v>0</v>
      </c>
      <c r="F57" s="11">
        <v>0</v>
      </c>
      <c r="G57" s="11">
        <v>5.5643000000000001E-10</v>
      </c>
      <c r="H57" s="11">
        <v>0</v>
      </c>
    </row>
    <row r="58" spans="2:8" x14ac:dyDescent="0.25">
      <c r="B58">
        <v>48</v>
      </c>
      <c r="C58" s="11">
        <v>48</v>
      </c>
      <c r="D58">
        <v>324</v>
      </c>
      <c r="E58">
        <v>0</v>
      </c>
      <c r="F58" s="11">
        <v>0</v>
      </c>
      <c r="G58" s="11">
        <v>5.6818E-10</v>
      </c>
      <c r="H58" s="11">
        <v>0</v>
      </c>
    </row>
    <row r="59" spans="2:8" x14ac:dyDescent="0.25">
      <c r="B59">
        <v>49</v>
      </c>
      <c r="C59" s="11">
        <v>49</v>
      </c>
      <c r="D59">
        <v>322</v>
      </c>
      <c r="E59">
        <v>0</v>
      </c>
      <c r="F59" s="11">
        <v>0</v>
      </c>
      <c r="G59" s="11">
        <v>5.6592000000000005E-10</v>
      </c>
      <c r="H59" s="11">
        <v>0</v>
      </c>
    </row>
    <row r="60" spans="2:8" x14ac:dyDescent="0.25">
      <c r="B60">
        <v>50</v>
      </c>
      <c r="C60" s="11">
        <v>50</v>
      </c>
      <c r="D60">
        <v>320</v>
      </c>
      <c r="E60">
        <v>0</v>
      </c>
      <c r="F60" s="11">
        <v>0</v>
      </c>
      <c r="G60" s="11">
        <v>5.626E-10</v>
      </c>
      <c r="H60" s="11">
        <v>0</v>
      </c>
    </row>
    <row r="61" spans="2:8" x14ac:dyDescent="0.25">
      <c r="B61">
        <v>51</v>
      </c>
      <c r="C61" s="11">
        <v>51</v>
      </c>
      <c r="D61">
        <v>318</v>
      </c>
      <c r="E61">
        <v>0</v>
      </c>
      <c r="F61" s="11">
        <v>0</v>
      </c>
      <c r="G61" s="11">
        <v>5.5968999999999996E-10</v>
      </c>
      <c r="H61" s="11">
        <v>0</v>
      </c>
    </row>
    <row r="62" spans="2:8" x14ac:dyDescent="0.25">
      <c r="B62">
        <v>52</v>
      </c>
      <c r="C62" s="11">
        <v>52</v>
      </c>
      <c r="D62">
        <v>316</v>
      </c>
      <c r="E62">
        <v>0</v>
      </c>
      <c r="F62" s="11">
        <v>0</v>
      </c>
      <c r="G62" s="11">
        <v>5.5107000000000004E-10</v>
      </c>
      <c r="H62" s="11">
        <v>0</v>
      </c>
    </row>
    <row r="63" spans="2:8" x14ac:dyDescent="0.25">
      <c r="B63">
        <v>53</v>
      </c>
      <c r="C63" s="11">
        <v>53</v>
      </c>
      <c r="D63">
        <v>314</v>
      </c>
      <c r="E63">
        <v>0</v>
      </c>
      <c r="F63" s="11">
        <v>0</v>
      </c>
      <c r="G63" s="11">
        <v>5.4960000000000005E-10</v>
      </c>
      <c r="H63" s="11">
        <v>0</v>
      </c>
    </row>
    <row r="64" spans="2:8" x14ac:dyDescent="0.25">
      <c r="B64">
        <v>54</v>
      </c>
      <c r="C64" s="11">
        <v>54</v>
      </c>
      <c r="D64">
        <v>312</v>
      </c>
      <c r="E64">
        <v>0</v>
      </c>
      <c r="F64" s="11">
        <v>0</v>
      </c>
      <c r="G64" s="11">
        <v>5.1023999999999999E-10</v>
      </c>
      <c r="H64" s="11">
        <v>0</v>
      </c>
    </row>
    <row r="65" spans="2:8" x14ac:dyDescent="0.25">
      <c r="B65">
        <v>55</v>
      </c>
      <c r="C65" s="11">
        <v>55</v>
      </c>
      <c r="D65">
        <v>310</v>
      </c>
      <c r="E65">
        <v>0</v>
      </c>
      <c r="F65" s="11">
        <v>0</v>
      </c>
      <c r="G65" s="11">
        <v>5.1075000000000002E-10</v>
      </c>
      <c r="H65" s="11">
        <v>0</v>
      </c>
    </row>
    <row r="66" spans="2:8" x14ac:dyDescent="0.25">
      <c r="B66">
        <v>56</v>
      </c>
      <c r="C66" s="11">
        <v>56</v>
      </c>
      <c r="D66">
        <v>308</v>
      </c>
      <c r="E66">
        <v>0</v>
      </c>
      <c r="F66" s="11">
        <v>0</v>
      </c>
      <c r="G66" s="11">
        <v>5.0082000000000003E-10</v>
      </c>
      <c r="H66" s="11">
        <v>0</v>
      </c>
    </row>
    <row r="67" spans="2:8" x14ac:dyDescent="0.25">
      <c r="B67">
        <v>57</v>
      </c>
      <c r="C67" s="11">
        <v>57</v>
      </c>
      <c r="D67">
        <v>306</v>
      </c>
      <c r="E67">
        <v>0</v>
      </c>
      <c r="F67" s="11">
        <v>0</v>
      </c>
      <c r="G67" s="11">
        <v>4.9756999999999997E-10</v>
      </c>
      <c r="H67" s="11">
        <v>0</v>
      </c>
    </row>
    <row r="68" spans="2:8" x14ac:dyDescent="0.25">
      <c r="B68">
        <v>58</v>
      </c>
      <c r="C68" s="11">
        <v>58</v>
      </c>
      <c r="D68">
        <v>304</v>
      </c>
      <c r="E68">
        <v>0</v>
      </c>
      <c r="F68" s="11">
        <v>0</v>
      </c>
      <c r="G68" s="11">
        <v>5.0406000000000002E-10</v>
      </c>
      <c r="H68" s="11">
        <v>0</v>
      </c>
    </row>
    <row r="69" spans="2:8" x14ac:dyDescent="0.25">
      <c r="B69">
        <v>59</v>
      </c>
      <c r="C69" s="11">
        <v>59</v>
      </c>
      <c r="D69">
        <v>302</v>
      </c>
      <c r="E69">
        <v>0</v>
      </c>
      <c r="F69" s="11">
        <v>0</v>
      </c>
      <c r="G69" s="11">
        <v>5.0651000000000004E-10</v>
      </c>
      <c r="H69" s="11">
        <v>0</v>
      </c>
    </row>
    <row r="70" spans="2:8" x14ac:dyDescent="0.25">
      <c r="B70">
        <v>60</v>
      </c>
      <c r="C70" s="11">
        <v>60</v>
      </c>
      <c r="D70">
        <v>300</v>
      </c>
      <c r="E70">
        <v>0</v>
      </c>
      <c r="F70" s="11">
        <v>0</v>
      </c>
      <c r="G70" s="11">
        <v>5.0952000000000001E-10</v>
      </c>
      <c r="H70" s="11">
        <v>0</v>
      </c>
    </row>
    <row r="71" spans="2:8" x14ac:dyDescent="0.25">
      <c r="B71">
        <v>61</v>
      </c>
      <c r="C71" s="11">
        <v>61</v>
      </c>
      <c r="D71">
        <v>298</v>
      </c>
      <c r="E71">
        <v>0</v>
      </c>
      <c r="F71" s="11">
        <v>0</v>
      </c>
      <c r="G71" s="11">
        <v>4.8517999999999997E-10</v>
      </c>
      <c r="H71" s="11">
        <v>0</v>
      </c>
    </row>
    <row r="72" spans="2:8" x14ac:dyDescent="0.25">
      <c r="B72">
        <v>62</v>
      </c>
      <c r="C72" s="11">
        <v>62</v>
      </c>
      <c r="D72">
        <v>296</v>
      </c>
      <c r="E72">
        <v>0</v>
      </c>
      <c r="F72" s="11">
        <v>0</v>
      </c>
      <c r="G72" s="11">
        <v>4.8586000000000002E-10</v>
      </c>
      <c r="H72" s="11">
        <v>0</v>
      </c>
    </row>
    <row r="73" spans="2:8" x14ac:dyDescent="0.25">
      <c r="B73">
        <v>63</v>
      </c>
      <c r="C73" s="11">
        <v>63</v>
      </c>
      <c r="D73">
        <v>294</v>
      </c>
      <c r="E73">
        <v>0</v>
      </c>
      <c r="F73" s="11">
        <v>0</v>
      </c>
      <c r="G73" s="11">
        <v>4.7510000000000004E-10</v>
      </c>
      <c r="H73" s="11">
        <v>0</v>
      </c>
    </row>
    <row r="74" spans="2:8" x14ac:dyDescent="0.25">
      <c r="B74">
        <v>64</v>
      </c>
      <c r="C74" s="11">
        <v>64</v>
      </c>
      <c r="D74">
        <v>292</v>
      </c>
      <c r="E74">
        <v>0</v>
      </c>
      <c r="F74" s="11">
        <v>0</v>
      </c>
      <c r="G74" s="11">
        <v>4.7511000000000003E-10</v>
      </c>
      <c r="H74" s="11">
        <v>0</v>
      </c>
    </row>
    <row r="75" spans="2:8" x14ac:dyDescent="0.25">
      <c r="B75">
        <v>65</v>
      </c>
      <c r="C75" s="11">
        <v>65</v>
      </c>
      <c r="D75">
        <v>290</v>
      </c>
      <c r="E75">
        <v>0</v>
      </c>
      <c r="F75" s="11">
        <v>0</v>
      </c>
      <c r="G75" s="11">
        <v>4.8213999999999995E-10</v>
      </c>
      <c r="H75" s="11">
        <v>0</v>
      </c>
    </row>
    <row r="76" spans="2:8" x14ac:dyDescent="0.25">
      <c r="B76">
        <v>66</v>
      </c>
      <c r="C76" s="11">
        <v>66</v>
      </c>
      <c r="D76">
        <v>288</v>
      </c>
      <c r="E76">
        <v>0</v>
      </c>
      <c r="F76" s="11">
        <v>0</v>
      </c>
      <c r="G76" s="11">
        <v>4.7868000000000005E-10</v>
      </c>
      <c r="H76" s="11">
        <v>0</v>
      </c>
    </row>
    <row r="77" spans="2:8" x14ac:dyDescent="0.25">
      <c r="B77">
        <v>67</v>
      </c>
      <c r="C77" s="11">
        <v>67</v>
      </c>
      <c r="D77">
        <v>286</v>
      </c>
      <c r="E77">
        <v>0</v>
      </c>
      <c r="F77" s="11">
        <v>0</v>
      </c>
      <c r="G77" s="11">
        <v>4.8861000000000003E-10</v>
      </c>
      <c r="H77" s="11">
        <v>0</v>
      </c>
    </row>
    <row r="78" spans="2:8" x14ac:dyDescent="0.25">
      <c r="B78">
        <v>68</v>
      </c>
      <c r="C78" s="11">
        <v>68</v>
      </c>
      <c r="D78">
        <v>284</v>
      </c>
      <c r="E78">
        <v>0</v>
      </c>
      <c r="F78" s="11">
        <v>0</v>
      </c>
      <c r="G78" s="11">
        <v>4.8133000000000003E-10</v>
      </c>
      <c r="H78" s="11">
        <v>0</v>
      </c>
    </row>
    <row r="79" spans="2:8" x14ac:dyDescent="0.25">
      <c r="B79">
        <v>69</v>
      </c>
      <c r="C79" s="11">
        <v>69</v>
      </c>
      <c r="D79">
        <v>282</v>
      </c>
      <c r="E79">
        <v>0</v>
      </c>
      <c r="F79" s="11">
        <v>0</v>
      </c>
      <c r="G79" s="11">
        <v>4.7888E-10</v>
      </c>
      <c r="H79" s="11">
        <v>0</v>
      </c>
    </row>
    <row r="80" spans="2:8" x14ac:dyDescent="0.25">
      <c r="B80">
        <v>70</v>
      </c>
      <c r="C80" s="11">
        <v>70</v>
      </c>
      <c r="D80">
        <v>280</v>
      </c>
      <c r="E80">
        <v>0</v>
      </c>
      <c r="F80" s="11">
        <v>0</v>
      </c>
      <c r="G80" s="11">
        <v>4.6596000000000001E-10</v>
      </c>
      <c r="H80" s="11">
        <v>0</v>
      </c>
    </row>
    <row r="81" spans="2:8" x14ac:dyDescent="0.25">
      <c r="B81">
        <v>71</v>
      </c>
      <c r="C81" s="11">
        <v>71</v>
      </c>
      <c r="D81">
        <v>278</v>
      </c>
      <c r="E81">
        <v>0</v>
      </c>
      <c r="F81" s="11">
        <v>0</v>
      </c>
      <c r="G81" s="11">
        <v>4.6447E-10</v>
      </c>
      <c r="H81" s="11">
        <v>0</v>
      </c>
    </row>
    <row r="82" spans="2:8" x14ac:dyDescent="0.25">
      <c r="B82">
        <v>73</v>
      </c>
      <c r="C82" s="11">
        <v>73</v>
      </c>
      <c r="D82">
        <v>274</v>
      </c>
      <c r="E82">
        <v>0</v>
      </c>
      <c r="F82" s="11">
        <v>0</v>
      </c>
      <c r="G82" s="11">
        <v>4.5264E-10</v>
      </c>
      <c r="H82" s="11">
        <v>0</v>
      </c>
    </row>
    <row r="83" spans="2:8" x14ac:dyDescent="0.25">
      <c r="B83">
        <v>75</v>
      </c>
      <c r="C83" s="11">
        <v>75</v>
      </c>
      <c r="D83">
        <v>270</v>
      </c>
      <c r="E83">
        <v>0</v>
      </c>
      <c r="F83" s="11">
        <v>0</v>
      </c>
      <c r="G83" s="11">
        <v>4.6076000000000002E-10</v>
      </c>
      <c r="H83" s="11">
        <v>0</v>
      </c>
    </row>
    <row r="84" spans="2:8" x14ac:dyDescent="0.25">
      <c r="B84">
        <v>77</v>
      </c>
      <c r="C84" s="11">
        <v>77</v>
      </c>
      <c r="D84">
        <v>266</v>
      </c>
      <c r="E84">
        <v>0</v>
      </c>
      <c r="F84" s="11">
        <v>0</v>
      </c>
      <c r="G84" s="11">
        <v>4.6132000000000002E-10</v>
      </c>
      <c r="H84" s="11">
        <v>0</v>
      </c>
    </row>
    <row r="85" spans="2:8" x14ac:dyDescent="0.25">
      <c r="B85">
        <v>79</v>
      </c>
      <c r="C85" s="11">
        <v>79</v>
      </c>
      <c r="D85">
        <v>262</v>
      </c>
      <c r="E85">
        <v>0</v>
      </c>
      <c r="F85" s="11">
        <v>0</v>
      </c>
      <c r="G85" s="11">
        <v>4.4673000000000002E-10</v>
      </c>
      <c r="H85" s="11">
        <v>0</v>
      </c>
    </row>
    <row r="86" spans="2:8" x14ac:dyDescent="0.25">
      <c r="B86">
        <v>81</v>
      </c>
      <c r="C86" s="11">
        <v>81</v>
      </c>
      <c r="D86">
        <v>258</v>
      </c>
      <c r="E86">
        <v>0</v>
      </c>
      <c r="F86" s="11">
        <v>0</v>
      </c>
      <c r="G86" s="11">
        <v>4.3264000000000002E-10</v>
      </c>
      <c r="H86" s="11">
        <v>0</v>
      </c>
    </row>
    <row r="87" spans="2:8" x14ac:dyDescent="0.25">
      <c r="B87">
        <v>83</v>
      </c>
      <c r="C87" s="11">
        <v>83</v>
      </c>
      <c r="D87">
        <v>254</v>
      </c>
      <c r="E87">
        <v>0</v>
      </c>
      <c r="F87" s="11">
        <v>0</v>
      </c>
      <c r="G87" s="11">
        <v>4.2718000000000002E-10</v>
      </c>
      <c r="H87" s="11">
        <v>0</v>
      </c>
    </row>
    <row r="88" spans="2:8" x14ac:dyDescent="0.25">
      <c r="B88">
        <v>85</v>
      </c>
      <c r="C88" s="11">
        <v>85</v>
      </c>
      <c r="D88">
        <v>250</v>
      </c>
      <c r="E88">
        <v>0</v>
      </c>
      <c r="F88" s="11">
        <v>0</v>
      </c>
      <c r="G88" s="11">
        <v>4.1025999999999999E-10</v>
      </c>
      <c r="H88" s="11">
        <v>0</v>
      </c>
    </row>
    <row r="89" spans="2:8" x14ac:dyDescent="0.25">
      <c r="B89">
        <v>87</v>
      </c>
      <c r="C89" s="11">
        <v>87</v>
      </c>
      <c r="D89">
        <v>246</v>
      </c>
      <c r="E89">
        <v>0</v>
      </c>
      <c r="F89" s="11">
        <v>0</v>
      </c>
      <c r="G89" s="11">
        <v>3.9510999999999999E-10</v>
      </c>
      <c r="H89" s="11">
        <v>0</v>
      </c>
    </row>
    <row r="90" spans="2:8" x14ac:dyDescent="0.25">
      <c r="B90">
        <v>89</v>
      </c>
      <c r="C90" s="11">
        <v>89</v>
      </c>
      <c r="D90">
        <v>242</v>
      </c>
      <c r="E90">
        <v>0</v>
      </c>
      <c r="F90" s="11">
        <v>0</v>
      </c>
      <c r="G90" s="11">
        <v>3.7478000000000002E-10</v>
      </c>
      <c r="H90" s="11">
        <v>0</v>
      </c>
    </row>
    <row r="91" spans="2:8" x14ac:dyDescent="0.25">
      <c r="B91">
        <v>91</v>
      </c>
      <c r="C91" s="11">
        <v>91</v>
      </c>
      <c r="D91">
        <v>238</v>
      </c>
      <c r="E91">
        <v>0</v>
      </c>
      <c r="F91" s="11">
        <v>0</v>
      </c>
      <c r="G91" s="11">
        <v>3.7799999999999999E-10</v>
      </c>
      <c r="H91" s="11">
        <v>0</v>
      </c>
    </row>
    <row r="92" spans="2:8" x14ac:dyDescent="0.25">
      <c r="B92">
        <v>93</v>
      </c>
      <c r="C92" s="11">
        <v>93</v>
      </c>
      <c r="D92">
        <v>234</v>
      </c>
      <c r="E92">
        <v>0</v>
      </c>
      <c r="F92" s="11">
        <v>0</v>
      </c>
      <c r="G92" s="11">
        <v>3.8030000000000002E-10</v>
      </c>
      <c r="H92" s="11">
        <v>0</v>
      </c>
    </row>
    <row r="93" spans="2:8" x14ac:dyDescent="0.25">
      <c r="B93">
        <v>95</v>
      </c>
      <c r="C93" s="11">
        <v>95</v>
      </c>
      <c r="D93">
        <v>230</v>
      </c>
      <c r="E93">
        <v>0</v>
      </c>
      <c r="F93" s="11">
        <v>0</v>
      </c>
      <c r="G93" s="11">
        <v>3.7150000000000001E-10</v>
      </c>
      <c r="H93" s="11">
        <v>0</v>
      </c>
    </row>
    <row r="94" spans="2:8" x14ac:dyDescent="0.25">
      <c r="B94">
        <v>97</v>
      </c>
      <c r="C94" s="11">
        <v>97</v>
      </c>
      <c r="D94">
        <v>226</v>
      </c>
      <c r="E94">
        <v>0</v>
      </c>
      <c r="F94" s="11">
        <v>0</v>
      </c>
      <c r="G94" s="11">
        <v>3.5550000000000001E-10</v>
      </c>
      <c r="H94" s="11">
        <v>0</v>
      </c>
    </row>
    <row r="95" spans="2:8" x14ac:dyDescent="0.25">
      <c r="B95">
        <v>99</v>
      </c>
      <c r="C95" s="11">
        <v>99</v>
      </c>
      <c r="D95">
        <v>222</v>
      </c>
      <c r="E95">
        <v>0</v>
      </c>
      <c r="F95" s="11">
        <v>0</v>
      </c>
      <c r="G95" s="11">
        <v>3.4641999999999998E-10</v>
      </c>
      <c r="H95" s="11">
        <v>0</v>
      </c>
    </row>
    <row r="96" spans="2:8" x14ac:dyDescent="0.25">
      <c r="B96">
        <v>101</v>
      </c>
      <c r="C96" s="11">
        <v>101</v>
      </c>
      <c r="D96">
        <v>218</v>
      </c>
      <c r="E96">
        <v>0</v>
      </c>
      <c r="F96" s="11">
        <v>0</v>
      </c>
      <c r="G96" s="11">
        <v>3.4324999999999998E-10</v>
      </c>
      <c r="H96" s="11">
        <v>0</v>
      </c>
    </row>
    <row r="97" spans="2:8" x14ac:dyDescent="0.25">
      <c r="B97">
        <v>103</v>
      </c>
      <c r="C97" s="11">
        <v>103</v>
      </c>
      <c r="D97">
        <v>214</v>
      </c>
      <c r="E97">
        <v>0</v>
      </c>
      <c r="F97" s="11">
        <v>0</v>
      </c>
      <c r="G97" s="11">
        <v>3.2788000000000001E-10</v>
      </c>
      <c r="H97" s="11">
        <v>0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9"/>
  <sheetViews>
    <sheetView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>
        <f t="shared" si="0"/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66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64</v>
      </c>
      <c r="C3" s="44">
        <f>'30 mA'!B21*10^9</f>
        <v>56.146999999999998</v>
      </c>
      <c r="D3" s="44">
        <f>'30 mA'!C21*10^9</f>
        <v>50.190000000000005</v>
      </c>
      <c r="E3" s="44">
        <f>'30 mA'!D21*10^9</f>
        <v>51.091999999999999</v>
      </c>
      <c r="F3" s="44">
        <f>'30 mA'!E21*10^9</f>
        <v>58.079000000000001</v>
      </c>
      <c r="G3" s="44">
        <f>'30 mA'!F21*10^9</f>
        <v>45.097999999999999</v>
      </c>
      <c r="H3" s="44">
        <f>'30 mA'!G21*10^9</f>
        <v>56.362000000000002</v>
      </c>
      <c r="I3" s="44">
        <f>'30 mA'!H21*10^9</f>
        <v>52.502000000000002</v>
      </c>
      <c r="J3" s="44">
        <f>'30 mA'!I21*10^9</f>
        <v>73.134</v>
      </c>
      <c r="K3" s="44">
        <f>'30 mA'!J21*10^9</f>
        <v>69.951000000000008</v>
      </c>
      <c r="L3" s="47">
        <f>'30 mA'!K21*10^9</f>
        <v>59.164000000000001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10</v>
      </c>
      <c r="X3" s="5"/>
      <c r="Y3" s="9" t="s">
        <v>88</v>
      </c>
      <c r="Z3" s="32">
        <f>AVERAGE($C2:$L2)</f>
        <v>34.5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4">
        <f>0.24*C$2+48.98</f>
        <v>49.808</v>
      </c>
      <c r="D4" s="17"/>
      <c r="E4" s="18"/>
      <c r="F4" s="18"/>
      <c r="G4" s="18"/>
      <c r="H4" s="18"/>
      <c r="I4" s="18"/>
      <c r="J4" s="18"/>
      <c r="K4" s="19"/>
      <c r="L4" s="47">
        <f>0.24*L$2+48.98</f>
        <v>64.711999999999989</v>
      </c>
      <c r="M4" t="s">
        <v>107</v>
      </c>
      <c r="O4" s="22">
        <f>IF($S$2="Max-Min",MAX($C$3:$L$3)-MIN($C$3:$L$3),$L4-$C4)/10^9</f>
        <v>2.8036E-8</v>
      </c>
      <c r="P4" s="22">
        <f>ABS(O4)/SQRT($P$13)</f>
        <v>8.0932960735001741E-9</v>
      </c>
      <c r="Q4" s="25">
        <f>ROUNDDOWN(TINV(1-0.95,COUNTA($C$3:$L$3)-1),2)</f>
        <v>2.2599999999999998</v>
      </c>
      <c r="R4" s="22">
        <f>Q4*P4</f>
        <v>1.8290849126110391E-8</v>
      </c>
      <c r="T4" s="22">
        <f>SQRT(SUMSQ($R4,$W6))</f>
        <v>1.8290849126110391E-8</v>
      </c>
      <c r="V4" s="30" t="s">
        <v>90</v>
      </c>
      <c r="W4" s="5">
        <f>ROUND(_xlfn.T.INV((1+0.95)/2,($W3-2)),2)</f>
        <v>2.31</v>
      </c>
      <c r="X4" s="5"/>
      <c r="Y4" s="5" t="s">
        <v>87</v>
      </c>
      <c r="Z4" s="32">
        <f>SQRT(DEVSQ($C2:$L2))</f>
        <v>62.672362329818071</v>
      </c>
      <c r="AA4" s="5"/>
    </row>
    <row r="5" spans="2:32" ht="15.75" thickBot="1" x14ac:dyDescent="0.3">
      <c r="B5" s="21" t="s">
        <v>82</v>
      </c>
      <c r="C5" s="44">
        <f>0.24*C$2+48.98</f>
        <v>49.808</v>
      </c>
      <c r="D5" s="17"/>
      <c r="E5" s="18"/>
      <c r="F5" s="18"/>
      <c r="G5" s="18"/>
      <c r="H5" s="18"/>
      <c r="I5" s="18"/>
      <c r="J5" s="18"/>
      <c r="K5" s="19"/>
      <c r="L5" s="47">
        <f>0.24*(60+$C$2)+48.98</f>
        <v>64.207999999999998</v>
      </c>
      <c r="M5" t="s">
        <v>107</v>
      </c>
      <c r="O5" s="22">
        <f>IF($S$2="Max-Min",MAX($C$3:$L$3)-MIN($C$3:$L$3),$L5-$C5)/10^9</f>
        <v>2.8036E-8</v>
      </c>
      <c r="P5" s="22">
        <f>ABS(O5)/SQRT($P$13)</f>
        <v>8.0932960735001741E-9</v>
      </c>
      <c r="Q5" s="25">
        <f>ROUNDDOWN(TINV(1-0.95,COUNTA($C$3:$L$3)-1),2)</f>
        <v>2.2599999999999998</v>
      </c>
      <c r="R5" s="22">
        <f>Q5*P5</f>
        <v>1.8290849126110391E-8</v>
      </c>
      <c r="T5" s="11"/>
      <c r="V5" s="30" t="s">
        <v>84</v>
      </c>
      <c r="W5" s="6">
        <f>STEYX($C3:$L3,$C2:$L2)/10^9</f>
        <v>7.554937724810019E-9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67</v>
      </c>
      <c r="R8" s="36" t="s">
        <v>96</v>
      </c>
      <c r="S8" s="35" t="s">
        <v>95</v>
      </c>
    </row>
    <row r="9" spans="2:32" ht="15.75" thickBot="1" x14ac:dyDescent="0.3">
      <c r="B9" s="20" t="s">
        <v>65</v>
      </c>
      <c r="C9" s="44">
        <f>'30 mA'!B86*10^9</f>
        <v>42.663999999999994</v>
      </c>
      <c r="D9" s="44">
        <f>'30 mA'!C86*10^9</f>
        <v>45.100999999999999</v>
      </c>
      <c r="E9" s="44">
        <f>'30 mA'!D86*10^9</f>
        <v>30.463000000000001</v>
      </c>
      <c r="F9" s="44">
        <f>'30 mA'!E86*10^9</f>
        <v>32.1</v>
      </c>
      <c r="G9" s="44">
        <f>'30 mA'!F86*10^9</f>
        <v>29.023999999999997</v>
      </c>
      <c r="H9" s="44">
        <f>'30 mA'!G86*10^9</f>
        <v>25.510999999999999</v>
      </c>
      <c r="I9" s="44">
        <f>'30 mA'!H86*10^9</f>
        <v>44.335000000000001</v>
      </c>
      <c r="J9" s="44">
        <f>'30 mA'!I86*10^9</f>
        <v>30.740999999999996</v>
      </c>
      <c r="K9" s="44">
        <f>'30 mA'!J86*10^9</f>
        <v>42.698</v>
      </c>
      <c r="L9" s="44">
        <f>'30 mA'!K86*10^9</f>
        <v>33.24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10</v>
      </c>
      <c r="X9" s="5"/>
      <c r="Y9" s="9" t="s">
        <v>88</v>
      </c>
      <c r="Z9" s="32">
        <f>AVERAGE($C8:$L8)</f>
        <v>34.5</v>
      </c>
      <c r="AA9" s="5" t="s">
        <v>89</v>
      </c>
    </row>
    <row r="10" spans="2:32" ht="15.75" thickBot="1" x14ac:dyDescent="0.3">
      <c r="B10" s="20" t="s">
        <v>55</v>
      </c>
      <c r="C10" s="44">
        <f>-0.059*C$8+37.62</f>
        <v>37.416449999999998</v>
      </c>
      <c r="D10" s="17"/>
      <c r="E10" s="18"/>
      <c r="F10" s="18"/>
      <c r="G10" s="18"/>
      <c r="H10" s="18"/>
      <c r="I10" s="18"/>
      <c r="J10" s="18"/>
      <c r="K10" s="19"/>
      <c r="L10" s="49">
        <f>-0.059*L$8+37.62</f>
        <v>33.752549999999999</v>
      </c>
      <c r="M10" t="s">
        <v>107</v>
      </c>
      <c r="O10" s="22">
        <f>IF($S$8="Max-Min",MAX($C$9:$L$9)-MIN($C$9:$L$9),$L10-$C10)/10^9</f>
        <v>1.9589999999999999E-8</v>
      </c>
      <c r="P10" s="22">
        <f>ABS(O10)/SQRT($P$13)</f>
        <v>5.6551458867123843E-9</v>
      </c>
      <c r="Q10" s="25">
        <f>ROUNDDOWN(TINV(1-0.95,COUNTA($C$3:$L$3)-1),2)</f>
        <v>2.2599999999999998</v>
      </c>
      <c r="R10" s="22">
        <f>Q10*P10</f>
        <v>1.2780629703969987E-8</v>
      </c>
      <c r="T10" s="22">
        <f>SQRT(SUMSQ($R10,$W12))</f>
        <v>1.2780629703969987E-8</v>
      </c>
      <c r="V10" s="30" t="s">
        <v>90</v>
      </c>
      <c r="W10" s="5">
        <f>ROUND(_xlfn.T.INV((1+0.95)/2,($W9-2)),2)</f>
        <v>2.31</v>
      </c>
      <c r="X10" s="5"/>
      <c r="Y10" s="5" t="s">
        <v>87</v>
      </c>
      <c r="Z10" s="32">
        <f>SQRT(DEVSQ($C8:$L8))</f>
        <v>62.672362329818071</v>
      </c>
      <c r="AA10" s="5"/>
      <c r="AF10">
        <v>3</v>
      </c>
    </row>
    <row r="11" spans="2:32" ht="15.75" thickBot="1" x14ac:dyDescent="0.3">
      <c r="B11" s="21" t="s">
        <v>82</v>
      </c>
      <c r="C11" s="44">
        <f>-0.059*C$8+37.62</f>
        <v>37.416449999999998</v>
      </c>
      <c r="D11" s="17"/>
      <c r="E11" s="18"/>
      <c r="F11" s="18"/>
      <c r="G11" s="18"/>
      <c r="H11" s="18"/>
      <c r="I11" s="18"/>
      <c r="J11" s="18"/>
      <c r="K11" s="19"/>
      <c r="L11" s="49">
        <f>-0.059*(C$8+60)+37.62</f>
        <v>33.876449999999998</v>
      </c>
      <c r="M11" t="s">
        <v>107</v>
      </c>
      <c r="O11" s="22">
        <f>IF($S$8="Max-Min",MAX($C$9:$L$9)-MIN($C$9:$L$9),$L11-$C11)/10^9</f>
        <v>1.9589999999999999E-8</v>
      </c>
      <c r="P11" s="22">
        <f>ABS(O11)/SQRT($P$13)</f>
        <v>5.6551458867123843E-9</v>
      </c>
      <c r="Q11" s="25">
        <f>ROUNDDOWN(TINV(1-0.95,COUNTA($C$3:$L$3)-1),2)</f>
        <v>2.2599999999999998</v>
      </c>
      <c r="R11" s="22">
        <f>Q11*P11</f>
        <v>1.2780629703969987E-8</v>
      </c>
      <c r="V11" s="30" t="s">
        <v>84</v>
      </c>
      <c r="W11" s="6">
        <f>STEYX($C9:$L9,$C8:$L8)/10^9</f>
        <v>7.6327746208126175E-9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19" spans="26:26" x14ac:dyDescent="0.25">
      <c r="Z19" s="11"/>
    </row>
    <row r="37" spans="2:26" x14ac:dyDescent="0.25">
      <c r="E37" s="30" t="s">
        <v>99</v>
      </c>
      <c r="F37" s="12">
        <f>PEARSON(C3:L3,C2:L2)</f>
        <v>0.57132794105535545</v>
      </c>
      <c r="P37" s="30" t="s">
        <v>99</v>
      </c>
      <c r="Q37" s="12">
        <f>PEARSON(C9:L9,C8:L8)</f>
        <v>-0.1685348144910033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101</v>
      </c>
      <c r="C40" s="5">
        <v>10</v>
      </c>
      <c r="O40" t="s">
        <v>101</v>
      </c>
      <c r="P40" s="5">
        <v>10</v>
      </c>
      <c r="Q40" s="5"/>
      <c r="R40" s="5"/>
      <c r="S40" s="5"/>
      <c r="T40" s="5"/>
      <c r="U40" s="5"/>
      <c r="V40" s="5"/>
      <c r="W40" s="5"/>
      <c r="X40" s="5"/>
      <c r="Y40" s="5"/>
    </row>
    <row r="41" spans="2:26" x14ac:dyDescent="0.25">
      <c r="B41" t="s">
        <v>102</v>
      </c>
      <c r="C41" s="45">
        <f>ABS(_xlfn.NORM.S.INV(1/(4*C40)))</f>
        <v>1.9599639845400538</v>
      </c>
      <c r="O41" t="s">
        <v>102</v>
      </c>
      <c r="P41" s="45">
        <f>ABS(_xlfn.NORM.S.INV(1/(4*P40)))</f>
        <v>1.9599639845400538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2:26" x14ac:dyDescent="0.25">
      <c r="B42" t="s">
        <v>105</v>
      </c>
      <c r="C42" s="5">
        <v>3.45</v>
      </c>
      <c r="D42" s="5">
        <v>10.350000000000001</v>
      </c>
      <c r="E42" s="5">
        <v>17.25</v>
      </c>
      <c r="F42" s="5">
        <v>24.15</v>
      </c>
      <c r="G42" s="5">
        <v>31.049999999999997</v>
      </c>
      <c r="H42" s="5">
        <v>37.949999999999996</v>
      </c>
      <c r="I42" s="5">
        <v>44.849999999999994</v>
      </c>
      <c r="J42" s="5">
        <v>51.749999999999993</v>
      </c>
      <c r="K42" s="5">
        <v>58.649999999999991</v>
      </c>
      <c r="L42" s="5">
        <v>65.55</v>
      </c>
      <c r="O42" t="s">
        <v>105</v>
      </c>
      <c r="P42" s="5">
        <v>3.45</v>
      </c>
      <c r="Q42" s="5">
        <v>10.350000000000001</v>
      </c>
      <c r="R42" s="5">
        <v>17.25</v>
      </c>
      <c r="S42" s="5">
        <v>24.15</v>
      </c>
      <c r="T42" s="5">
        <v>31.049999999999997</v>
      </c>
      <c r="U42" s="5">
        <v>37.949999999999996</v>
      </c>
      <c r="V42" s="5">
        <v>44.849999999999994</v>
      </c>
      <c r="W42" s="5">
        <v>51.749999999999993</v>
      </c>
      <c r="X42" s="5">
        <v>58.649999999999991</v>
      </c>
      <c r="Y42" s="5">
        <v>65.55</v>
      </c>
    </row>
    <row r="43" spans="2:26" x14ac:dyDescent="0.25">
      <c r="B43" t="str">
        <f>B3</f>
        <v>Desvio de Allan (I_1 = 30 mA, tau = 20 s)</v>
      </c>
      <c r="C43" s="12">
        <f>C3</f>
        <v>56.146999999999998</v>
      </c>
      <c r="D43" s="12">
        <f t="shared" ref="D43:L43" si="2">D3</f>
        <v>50.190000000000005</v>
      </c>
      <c r="E43" s="12">
        <f t="shared" si="2"/>
        <v>51.091999999999999</v>
      </c>
      <c r="F43" s="12">
        <f t="shared" si="2"/>
        <v>58.079000000000001</v>
      </c>
      <c r="G43" s="12">
        <f t="shared" si="2"/>
        <v>45.097999999999999</v>
      </c>
      <c r="H43" s="12">
        <f t="shared" si="2"/>
        <v>56.362000000000002</v>
      </c>
      <c r="I43" s="12">
        <f t="shared" si="2"/>
        <v>52.502000000000002</v>
      </c>
      <c r="J43" s="12">
        <f t="shared" si="2"/>
        <v>73.134</v>
      </c>
      <c r="K43" s="12">
        <f t="shared" si="2"/>
        <v>69.951000000000008</v>
      </c>
      <c r="L43" s="12">
        <f t="shared" si="2"/>
        <v>59.164000000000001</v>
      </c>
      <c r="M43" t="s">
        <v>107</v>
      </c>
      <c r="O43" t="str">
        <f>B9</f>
        <v>Desvio de Allan (I_1 = 30 mA, tau = 99 s)</v>
      </c>
      <c r="P43" s="12">
        <f>C9</f>
        <v>42.663999999999994</v>
      </c>
      <c r="Q43" s="12">
        <f t="shared" ref="Q43:Y43" si="3">D9</f>
        <v>45.100999999999999</v>
      </c>
      <c r="R43" s="12">
        <f t="shared" si="3"/>
        <v>30.463000000000001</v>
      </c>
      <c r="S43" s="12">
        <f t="shared" si="3"/>
        <v>32.1</v>
      </c>
      <c r="T43" s="12">
        <f t="shared" si="3"/>
        <v>29.023999999999997</v>
      </c>
      <c r="U43" s="12">
        <f t="shared" si="3"/>
        <v>25.510999999999999</v>
      </c>
      <c r="V43" s="12">
        <f t="shared" si="3"/>
        <v>44.335000000000001</v>
      </c>
      <c r="W43" s="12">
        <f t="shared" si="3"/>
        <v>30.740999999999996</v>
      </c>
      <c r="X43" s="12">
        <f t="shared" si="3"/>
        <v>42.698</v>
      </c>
      <c r="Y43" s="12">
        <f t="shared" si="3"/>
        <v>33.24</v>
      </c>
      <c r="Z43" t="s">
        <v>107</v>
      </c>
    </row>
    <row r="44" spans="2:26" x14ac:dyDescent="0.25">
      <c r="B44" t="s">
        <v>100</v>
      </c>
      <c r="C44" s="45">
        <f>ABS((C43-(AVERAGE($C$3:$L$3)))/(STDEVA($C$3:$L$3)))</f>
        <v>0.11809265061778045</v>
      </c>
      <c r="D44" s="45">
        <f t="shared" ref="D44:L44" si="4">ABS((D43-(AVERAGE($C$3:$L$3)))/(STDEVA($C$3:$L$3)))</f>
        <v>0.80447953687996299</v>
      </c>
      <c r="E44" s="45">
        <f t="shared" si="4"/>
        <v>0.7005478646609794</v>
      </c>
      <c r="F44" s="45">
        <f t="shared" si="4"/>
        <v>0.10451931249427925</v>
      </c>
      <c r="G44" s="45">
        <f t="shared" si="4"/>
        <v>1.3911980235086421</v>
      </c>
      <c r="H44" s="45">
        <f t="shared" si="4"/>
        <v>9.3319580188643003E-2</v>
      </c>
      <c r="I44" s="45">
        <f t="shared" si="4"/>
        <v>0.5380826120791965</v>
      </c>
      <c r="J44" s="45">
        <f t="shared" si="4"/>
        <v>1.8392103604508294</v>
      </c>
      <c r="K44" s="45">
        <f t="shared" si="4"/>
        <v>1.4724536945162106</v>
      </c>
      <c r="L44" s="45">
        <f t="shared" si="4"/>
        <v>0.22953690047387795</v>
      </c>
      <c r="O44" t="s">
        <v>100</v>
      </c>
      <c r="P44" s="45">
        <f>ABS((P43-(AVERAGE($C$9:$L$9)))/(STDEVA($C$9:$L$9)))</f>
        <v>0.96926587262436625</v>
      </c>
      <c r="Q44" s="45">
        <f t="shared" ref="Q44:Y44" si="5">ABS((Q43-(AVERAGE($C$9:$L$9)))/(STDEVA($C$9:$L$9)))</f>
        <v>1.3030703935725436</v>
      </c>
      <c r="R44" s="45">
        <f t="shared" si="5"/>
        <v>0.70194830878256853</v>
      </c>
      <c r="S44" s="45">
        <f t="shared" si="5"/>
        <v>0.47772262113703501</v>
      </c>
      <c r="T44" s="45">
        <f t="shared" si="5"/>
        <v>0.89905323518569835</v>
      </c>
      <c r="U44" s="45">
        <f t="shared" si="5"/>
        <v>1.3802412869259297</v>
      </c>
      <c r="V44" s="45">
        <f t="shared" si="5"/>
        <v>1.1981486606852629</v>
      </c>
      <c r="W44" s="45">
        <f t="shared" si="5"/>
        <v>0.66386966420990068</v>
      </c>
      <c r="X44" s="45">
        <f t="shared" si="5"/>
        <v>0.97392297303972941</v>
      </c>
      <c r="Y44" s="45">
        <f t="shared" si="5"/>
        <v>0.32157278368076853</v>
      </c>
    </row>
    <row r="45" spans="2:26" x14ac:dyDescent="0.25">
      <c r="B45" s="42" t="s">
        <v>103</v>
      </c>
      <c r="C45" s="43" t="str">
        <f>IF(C44&gt;$C$41,"outlier","")</f>
        <v/>
      </c>
      <c r="D45" s="43" t="str">
        <f t="shared" ref="D45:L45" si="6">IF(D44&gt;$C$41,"outlier","")</f>
        <v/>
      </c>
      <c r="E45" s="43" t="str">
        <f t="shared" si="6"/>
        <v/>
      </c>
      <c r="F45" s="43" t="str">
        <f t="shared" si="6"/>
        <v/>
      </c>
      <c r="G45" s="43" t="str">
        <f t="shared" si="6"/>
        <v/>
      </c>
      <c r="H45" s="43" t="str">
        <f t="shared" si="6"/>
        <v/>
      </c>
      <c r="I45" s="43" t="str">
        <f t="shared" si="6"/>
        <v/>
      </c>
      <c r="J45" s="43" t="str">
        <f t="shared" si="6"/>
        <v/>
      </c>
      <c r="K45" s="43" t="str">
        <f t="shared" si="6"/>
        <v/>
      </c>
      <c r="L45" s="43" t="str">
        <f t="shared" si="6"/>
        <v/>
      </c>
      <c r="O45" s="42" t="s">
        <v>103</v>
      </c>
      <c r="P45" s="43" t="str">
        <f>IF(P44&gt;$P$41,"outlier","")</f>
        <v/>
      </c>
      <c r="Q45" s="43" t="str">
        <f t="shared" ref="Q45:Y45" si="7">IF(Q44&gt;$P$41,"outlier","")</f>
        <v/>
      </c>
      <c r="R45" s="43" t="str">
        <f t="shared" si="7"/>
        <v/>
      </c>
      <c r="S45" s="43" t="str">
        <f t="shared" si="7"/>
        <v/>
      </c>
      <c r="T45" s="43" t="str">
        <f t="shared" si="7"/>
        <v/>
      </c>
      <c r="U45" s="43" t="str">
        <f t="shared" si="7"/>
        <v/>
      </c>
      <c r="V45" s="43" t="str">
        <f t="shared" si="7"/>
        <v/>
      </c>
      <c r="W45" s="43" t="str">
        <f t="shared" si="7"/>
        <v/>
      </c>
      <c r="X45" s="43" t="str">
        <f t="shared" si="7"/>
        <v/>
      </c>
      <c r="Y45" s="43" t="str">
        <f t="shared" si="7"/>
        <v/>
      </c>
    </row>
    <row r="47" spans="2:26" x14ac:dyDescent="0.25">
      <c r="B47" s="41" t="s">
        <v>108</v>
      </c>
      <c r="O47" s="41" t="s">
        <v>108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2:26" x14ac:dyDescent="0.25">
      <c r="B48" t="s">
        <v>109</v>
      </c>
      <c r="C48" s="48">
        <v>0.05</v>
      </c>
      <c r="O48" t="s">
        <v>109</v>
      </c>
      <c r="P48" s="48">
        <v>0.05</v>
      </c>
      <c r="Q48" s="5"/>
      <c r="R48" s="5"/>
      <c r="S48" s="5"/>
      <c r="T48" s="5"/>
      <c r="U48" s="5"/>
      <c r="V48" s="5"/>
      <c r="W48" s="5"/>
      <c r="X48" s="5"/>
      <c r="Y48" s="5"/>
    </row>
    <row r="49" spans="2:25" x14ac:dyDescent="0.25">
      <c r="B49" t="s">
        <v>102</v>
      </c>
      <c r="C49" s="45">
        <f>_xlfn.CHISQ.INV(1-C48, 1)</f>
        <v>3.8414588206941236</v>
      </c>
      <c r="O49" t="s">
        <v>102</v>
      </c>
      <c r="P49" s="45">
        <f>_xlfn.CHISQ.INV(1-P48, 1)</f>
        <v>3.8414588206941236</v>
      </c>
      <c r="Q49" s="5"/>
      <c r="R49" s="5"/>
      <c r="S49" s="5"/>
      <c r="T49" s="5"/>
      <c r="U49" s="5"/>
      <c r="V49" s="5"/>
      <c r="W49" s="5"/>
      <c r="X49" s="5"/>
      <c r="Y49" s="5"/>
    </row>
    <row r="50" spans="2:25" x14ac:dyDescent="0.25">
      <c r="B50" t="s">
        <v>100</v>
      </c>
      <c r="C50" s="12">
        <f t="shared" ref="C50:L50" si="8">((C43-AVERAGE($C$3:$L$3))^2)/((STDEVA($C$3:$L$3))^2)</f>
        <v>1.394587412993316E-2</v>
      </c>
      <c r="D50" s="12">
        <f t="shared" si="8"/>
        <v>0.64718732525859968</v>
      </c>
      <c r="E50" s="12">
        <f t="shared" si="8"/>
        <v>0.49076731068105794</v>
      </c>
      <c r="F50" s="12">
        <f t="shared" si="8"/>
        <v>1.0924286684276795E-2</v>
      </c>
      <c r="G50" s="12">
        <f t="shared" si="8"/>
        <v>1.9354319406143521</v>
      </c>
      <c r="H50" s="12">
        <f t="shared" si="8"/>
        <v>8.7085440465845734E-3</v>
      </c>
      <c r="I50" s="12">
        <f t="shared" si="8"/>
        <v>0.28953289742197102</v>
      </c>
      <c r="J50" s="12">
        <f t="shared" si="8"/>
        <v>3.3826947499896693</v>
      </c>
      <c r="K50" s="12">
        <f t="shared" si="8"/>
        <v>2.1681198824944379</v>
      </c>
      <c r="L50" s="12">
        <f t="shared" si="8"/>
        <v>5.2687188679154943E-2</v>
      </c>
      <c r="O50" t="s">
        <v>100</v>
      </c>
      <c r="P50" s="12">
        <f>((P43-AVERAGE($C$9:$L$9))^2)/((STDEVA($C$9:$L$9))^2)</f>
        <v>0.93947633183427415</v>
      </c>
      <c r="Q50" s="12">
        <f>((Q43-AVERAGE($C$9:$L$9))^2)/((STDEVA($C$9:$L$9))^2)</f>
        <v>1.6979924506053035</v>
      </c>
      <c r="R50" s="12">
        <f t="shared" ref="R50:Y50" si="9">((R43-AVERAGE($C$9:$L$9))^2)/((STDEVA($C$9:$L$9))^2)</f>
        <v>0.49273142820270815</v>
      </c>
      <c r="S50" s="12">
        <f t="shared" si="9"/>
        <v>0.22821890274603909</v>
      </c>
      <c r="T50" s="12">
        <f t="shared" si="9"/>
        <v>0.80829671969787054</v>
      </c>
      <c r="U50" s="12">
        <f t="shared" si="9"/>
        <v>1.9050660101349461</v>
      </c>
      <c r="V50" s="12">
        <f t="shared" si="9"/>
        <v>1.4355602131018894</v>
      </c>
      <c r="W50" s="12">
        <f t="shared" si="9"/>
        <v>0.44072293105816635</v>
      </c>
      <c r="X50" s="12">
        <f t="shared" si="9"/>
        <v>0.94852595741454548</v>
      </c>
      <c r="Y50" s="12">
        <f t="shared" si="9"/>
        <v>0.10340905520419834</v>
      </c>
    </row>
    <row r="51" spans="2:25" x14ac:dyDescent="0.25">
      <c r="B51" t="s">
        <v>103</v>
      </c>
      <c r="C51" s="43" t="str">
        <f>IF(C50&gt;$C$49,"outlier","")</f>
        <v/>
      </c>
      <c r="D51" s="43" t="str">
        <f t="shared" ref="D51:L51" si="10">IF(D50&gt;$C$49,"outlier","")</f>
        <v/>
      </c>
      <c r="E51" s="43" t="str">
        <f t="shared" si="10"/>
        <v/>
      </c>
      <c r="F51" s="43" t="str">
        <f t="shared" si="10"/>
        <v/>
      </c>
      <c r="G51" s="43" t="str">
        <f t="shared" si="10"/>
        <v/>
      </c>
      <c r="H51" s="43" t="str">
        <f t="shared" si="10"/>
        <v/>
      </c>
      <c r="I51" s="43" t="str">
        <f t="shared" si="10"/>
        <v/>
      </c>
      <c r="J51" s="43" t="str">
        <f t="shared" si="10"/>
        <v/>
      </c>
      <c r="K51" s="43" t="str">
        <f t="shared" si="10"/>
        <v/>
      </c>
      <c r="L51" s="43" t="str">
        <f t="shared" si="10"/>
        <v/>
      </c>
      <c r="O51" t="s">
        <v>103</v>
      </c>
      <c r="P51" s="43" t="str">
        <f>IF(P50&gt;$P$49,"outlier","")</f>
        <v/>
      </c>
      <c r="Q51" s="43" t="str">
        <f t="shared" ref="Q51:Y51" si="11">IF(Q50&gt;$P$49,"outlier","")</f>
        <v/>
      </c>
      <c r="R51" s="43" t="str">
        <f t="shared" si="11"/>
        <v/>
      </c>
      <c r="S51" s="43" t="str">
        <f t="shared" si="11"/>
        <v/>
      </c>
      <c r="T51" s="43" t="str">
        <f t="shared" si="11"/>
        <v/>
      </c>
      <c r="U51" s="43" t="str">
        <f t="shared" si="11"/>
        <v/>
      </c>
      <c r="V51" s="43" t="str">
        <f t="shared" si="11"/>
        <v/>
      </c>
      <c r="W51" s="43" t="str">
        <f t="shared" si="11"/>
        <v/>
      </c>
      <c r="X51" s="43" t="str">
        <f t="shared" si="11"/>
        <v/>
      </c>
      <c r="Y51" s="43" t="str">
        <f t="shared" si="11"/>
        <v/>
      </c>
    </row>
    <row r="52" spans="2:25" x14ac:dyDescent="0.25">
      <c r="B52" t="s">
        <v>110</v>
      </c>
      <c r="C52" s="12">
        <f>1-_xlfn.CHISQ.DIST(C50, 1, TRUE)</f>
        <v>0.90599424666220174</v>
      </c>
      <c r="D52" s="12">
        <f t="shared" ref="D52:L52" si="12">1-_xlfn.CHISQ.DIST(D50, 1, TRUE)</f>
        <v>0.4211200827030348</v>
      </c>
      <c r="E52" s="12">
        <f t="shared" si="12"/>
        <v>0.48358522427153983</v>
      </c>
      <c r="F52" s="12">
        <f t="shared" si="12"/>
        <v>0.91675724306133199</v>
      </c>
      <c r="G52" s="12">
        <f t="shared" si="12"/>
        <v>0.16416538644192435</v>
      </c>
      <c r="H52" s="12">
        <f t="shared" si="12"/>
        <v>0.92564967721750546</v>
      </c>
      <c r="I52" s="12">
        <f t="shared" si="12"/>
        <v>0.59052001614616412</v>
      </c>
      <c r="J52" s="12">
        <f t="shared" si="12"/>
        <v>6.5884251411223449E-2</v>
      </c>
      <c r="K52" s="12">
        <f t="shared" si="12"/>
        <v>0.14089840258995423</v>
      </c>
      <c r="L52" s="12">
        <f t="shared" si="12"/>
        <v>0.81845164367588241</v>
      </c>
      <c r="O52" t="s">
        <v>110</v>
      </c>
      <c r="P52" s="12">
        <f>1-_xlfn.CHISQ.DIST(P50, 1, TRUE)</f>
        <v>0.33241255209992482</v>
      </c>
      <c r="Q52" s="12">
        <f t="shared" ref="Q52:Y52" si="13">1-_xlfn.CHISQ.DIST(Q50, 1, TRUE)</f>
        <v>0.1925507301908449</v>
      </c>
      <c r="R52" s="12">
        <f t="shared" si="13"/>
        <v>0.48271140037737759</v>
      </c>
      <c r="S52" s="12">
        <f t="shared" si="13"/>
        <v>0.63284764158271045</v>
      </c>
      <c r="T52" s="12">
        <f t="shared" si="13"/>
        <v>0.36862430564182258</v>
      </c>
      <c r="U52" s="12">
        <f t="shared" si="13"/>
        <v>0.1675123657802744</v>
      </c>
      <c r="V52" s="12">
        <f t="shared" si="13"/>
        <v>0.23085914785699357</v>
      </c>
      <c r="W52" s="12">
        <f t="shared" si="13"/>
        <v>0.50677373358439959</v>
      </c>
      <c r="X52" s="12">
        <f t="shared" si="13"/>
        <v>0.33009478616763244</v>
      </c>
      <c r="Y52" s="12">
        <f t="shared" si="13"/>
        <v>0.74777636497055022</v>
      </c>
    </row>
    <row r="54" spans="2:25" x14ac:dyDescent="0.25">
      <c r="B54" s="41" t="s">
        <v>117</v>
      </c>
      <c r="C54"/>
      <c r="D54"/>
      <c r="E54"/>
      <c r="F54"/>
      <c r="G54"/>
      <c r="H54"/>
      <c r="I54"/>
      <c r="J54"/>
      <c r="K54"/>
      <c r="O54" s="41" t="s">
        <v>117</v>
      </c>
    </row>
    <row r="55" spans="2:25" x14ac:dyDescent="0.25">
      <c r="B55" t="s">
        <v>144</v>
      </c>
      <c r="C55"/>
      <c r="D55"/>
      <c r="E55"/>
      <c r="F55" t="s">
        <v>146</v>
      </c>
      <c r="G55"/>
      <c r="H55"/>
      <c r="I55"/>
      <c r="J55"/>
      <c r="K55"/>
      <c r="O55" t="s">
        <v>150</v>
      </c>
      <c r="S55" t="s">
        <v>148</v>
      </c>
    </row>
    <row r="56" spans="2:25" x14ac:dyDescent="0.25">
      <c r="B56" t="s">
        <v>145</v>
      </c>
      <c r="C56"/>
      <c r="D56"/>
      <c r="E56"/>
      <c r="F56" t="s">
        <v>147</v>
      </c>
      <c r="G56"/>
      <c r="H56"/>
      <c r="I56"/>
      <c r="J56"/>
      <c r="K56"/>
      <c r="O56" t="s">
        <v>151</v>
      </c>
      <c r="S56" t="s">
        <v>149</v>
      </c>
    </row>
    <row r="58" spans="2:25" x14ac:dyDescent="0.25">
      <c r="B58" s="41" t="s">
        <v>152</v>
      </c>
      <c r="O58" s="41" t="s">
        <v>152</v>
      </c>
    </row>
    <row r="59" spans="2:25" x14ac:dyDescent="0.25">
      <c r="B59" t="s">
        <v>154</v>
      </c>
      <c r="O59" t="s">
        <v>153</v>
      </c>
    </row>
  </sheetData>
  <conditionalFormatting sqref="C52:L52">
    <cfRule type="expression" dxfId="9" priority="2">
      <formula>C52&lt;0.05</formula>
    </cfRule>
  </conditionalFormatting>
  <conditionalFormatting sqref="P52:Y52">
    <cfRule type="expression" dxfId="8" priority="1">
      <formula>P52&lt;0.05</formula>
    </cfRule>
  </conditionalFormatting>
  <dataValidations disablePrompts="1" count="3">
    <dataValidation type="list" allowBlank="1" showInputMessage="1" showErrorMessage="1" sqref="AB6:AE6 AB12">
      <formula1>$AF$2:$AF$3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S2 S8">
      <formula1>$AF$5:$AF$6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2"/>
  <sheetViews>
    <sheetView tabSelected="1"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/>
      <c r="I2" s="14">
        <f>G2+828/60</f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70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68</v>
      </c>
      <c r="C3" s="44">
        <f>'10 mA'!B21*10^9</f>
        <v>9.5328999999999997</v>
      </c>
      <c r="D3" s="44">
        <f>'10 mA'!C21*10^9</f>
        <v>12.513</v>
      </c>
      <c r="E3" s="44">
        <f>'10 mA'!D21*10^9</f>
        <v>22.236999999999998</v>
      </c>
      <c r="F3" s="44">
        <f>'10 mA'!E21*10^9</f>
        <v>11.891</v>
      </c>
      <c r="G3" s="44">
        <f>'10 mA'!F21*10^9</f>
        <v>15.703999999999999</v>
      </c>
      <c r="H3" s="44"/>
      <c r="I3" s="44">
        <f>'10 mA'!H21*10^9</f>
        <v>10.732999999999999</v>
      </c>
      <c r="J3" s="44">
        <f>'10 mA'!I21*10^9</f>
        <v>10.78</v>
      </c>
      <c r="K3" s="44">
        <f>'10 mA'!J21*10^9</f>
        <v>15.816000000000001</v>
      </c>
      <c r="L3" s="47">
        <f>'10 mA'!K21*10^9</f>
        <v>11.151999999999999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9</v>
      </c>
      <c r="X3" s="5"/>
      <c r="Y3" s="9" t="s">
        <v>88</v>
      </c>
      <c r="Z3" s="32">
        <f>AVERAGE($C2:$L2)</f>
        <v>34.116666666666667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6">
        <f>-0.022*C$2+14.137</f>
        <v>14.0611</v>
      </c>
      <c r="D4" s="17"/>
      <c r="E4" s="18"/>
      <c r="F4" s="18"/>
      <c r="G4" s="18"/>
      <c r="H4" s="18"/>
      <c r="I4" s="18"/>
      <c r="J4" s="18"/>
      <c r="K4" s="19"/>
      <c r="L4" s="49">
        <f>-0.022*L$2+14.137</f>
        <v>12.694900000000001</v>
      </c>
      <c r="M4" t="s">
        <v>107</v>
      </c>
      <c r="O4" s="22">
        <f>IF($S$2="Max-Min",MAX($C$3:$L$3)-MIN($C$3:$L$3),$L4-$C4)/10^9</f>
        <v>1.2704099999999998E-8</v>
      </c>
      <c r="P4" s="22">
        <f>ABS(O4)/SQRT($P$13)</f>
        <v>3.6673577774059621E-9</v>
      </c>
      <c r="Q4" s="25">
        <f>ROUNDDOWN(TINV(1-0.95,COUNTA($C$3:$L$3)-1),2)</f>
        <v>2.2999999999999998</v>
      </c>
      <c r="R4" s="22">
        <f>Q4*P4</f>
        <v>8.4349228880337118E-9</v>
      </c>
      <c r="T4" s="22">
        <f>SQRT(SUMSQ($R4,$W6))</f>
        <v>8.4349228880337118E-9</v>
      </c>
      <c r="V4" s="30" t="s">
        <v>90</v>
      </c>
      <c r="W4" s="5">
        <f>ROUND(_xlfn.T.INV((1+0.95)/2,($W3-2)),2)</f>
        <v>2.36</v>
      </c>
      <c r="X4" s="5"/>
      <c r="Y4" s="5" t="s">
        <v>87</v>
      </c>
      <c r="Z4" s="32">
        <f>SQRT(DEVSQ($C2:$L2))</f>
        <v>62.566764340183035</v>
      </c>
      <c r="AA4" s="5"/>
    </row>
    <row r="5" spans="2:32" ht="15.75" thickBot="1" x14ac:dyDescent="0.3">
      <c r="B5" s="21" t="s">
        <v>82</v>
      </c>
      <c r="C5" s="46">
        <f>-0.022*C$2+14.137</f>
        <v>14.0611</v>
      </c>
      <c r="D5" s="17"/>
      <c r="E5" s="18"/>
      <c r="F5" s="18"/>
      <c r="G5" s="18"/>
      <c r="H5" s="18"/>
      <c r="I5" s="18"/>
      <c r="J5" s="18"/>
      <c r="K5" s="19"/>
      <c r="L5" s="49">
        <f>-0.022*(60+C$2)+14.137</f>
        <v>12.741100000000001</v>
      </c>
      <c r="M5" t="s">
        <v>107</v>
      </c>
      <c r="O5" s="22">
        <f>IF($S$2="Max-Min",MAX($C$3:$L$3)-MIN($C$3:$L$3),$L5-$C5)/10^9</f>
        <v>1.2704099999999998E-8</v>
      </c>
      <c r="P5" s="22">
        <f>ABS(O5)/SQRT($P$13)</f>
        <v>3.6673577774059621E-9</v>
      </c>
      <c r="Q5" s="25">
        <f>ROUNDDOWN(TINV(1-0.95,COUNTA($C$3:$L$3)-1),2)</f>
        <v>2.2999999999999998</v>
      </c>
      <c r="R5" s="22">
        <f>Q5*P5</f>
        <v>8.4349228880337118E-9</v>
      </c>
      <c r="T5" s="11"/>
      <c r="V5" s="30" t="s">
        <v>84</v>
      </c>
      <c r="W5" s="6">
        <f>STEYX($C3:$L3,$C2:$L2)/10^9</f>
        <v>4.2142535855774181E-9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/>
      <c r="D8" s="14">
        <f>3.45+414/60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71</v>
      </c>
      <c r="R8" s="36" t="s">
        <v>96</v>
      </c>
      <c r="S8" s="35" t="s">
        <v>95</v>
      </c>
    </row>
    <row r="9" spans="2:32" ht="15.75" thickBot="1" x14ac:dyDescent="0.3">
      <c r="B9" s="20" t="s">
        <v>69</v>
      </c>
      <c r="C9" s="44"/>
      <c r="D9" s="44">
        <f>'10 mA'!C86*10^9</f>
        <v>15.483000000000001</v>
      </c>
      <c r="E9" s="44">
        <f>'10 mA'!D86*10^9</f>
        <v>24.292000000000002</v>
      </c>
      <c r="F9" s="44">
        <f>'10 mA'!E86*10^9</f>
        <v>18.516999999999999</v>
      </c>
      <c r="G9" s="44">
        <f>'10 mA'!F86*10^9</f>
        <v>17.818000000000001</v>
      </c>
      <c r="H9" s="44">
        <f>'10 mA'!G86*10^9</f>
        <v>27.952000000000002</v>
      </c>
      <c r="I9" s="44">
        <f>'10 mA'!H86*10^9</f>
        <v>22.262</v>
      </c>
      <c r="J9" s="44">
        <f>'10 mA'!I86*10^9</f>
        <v>18.63</v>
      </c>
      <c r="K9" s="44">
        <f>'10 mA'!J86*10^9</f>
        <v>24.016999999999999</v>
      </c>
      <c r="L9" s="47">
        <f>'10 mA'!K86*10^9</f>
        <v>20.456000000000003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9</v>
      </c>
      <c r="X9" s="5"/>
      <c r="Y9" s="9" t="s">
        <v>88</v>
      </c>
      <c r="Z9" s="32">
        <f>AVERAGE($C8:$L8)</f>
        <v>37.950000000000003</v>
      </c>
      <c r="AA9" s="5" t="s">
        <v>89</v>
      </c>
    </row>
    <row r="10" spans="2:32" ht="15.75" thickBot="1" x14ac:dyDescent="0.3">
      <c r="B10" s="20" t="s">
        <v>55</v>
      </c>
      <c r="C10" s="44">
        <f>0.057*3.45+18.872</f>
        <v>19.068650000000002</v>
      </c>
      <c r="D10" s="17"/>
      <c r="E10" s="18"/>
      <c r="F10" s="18"/>
      <c r="G10" s="18"/>
      <c r="H10" s="18"/>
      <c r="I10" s="18"/>
      <c r="J10" s="18"/>
      <c r="K10" s="19"/>
      <c r="L10" s="47">
        <f>0.057*L$8+18.872</f>
        <v>22.608350000000002</v>
      </c>
      <c r="M10" t="s">
        <v>107</v>
      </c>
      <c r="O10" s="22">
        <f>IF($S$8="Max-Min",MAX($C$9:$L$9)-MIN($C$9:$L$9),$L10-$C10)/10^9</f>
        <v>1.2469000000000001E-8</v>
      </c>
      <c r="P10" s="22">
        <f>ABS(O10)/SQRT($P$13)</f>
        <v>3.5994902532627221E-9</v>
      </c>
      <c r="Q10" s="25">
        <f>ROUNDDOWN(TINV(1-0.95,COUNTA($C$9:$L$9)-1),2)</f>
        <v>2.2999999999999998</v>
      </c>
      <c r="R10" s="22">
        <f>Q10*P10</f>
        <v>8.2788275825042604E-9</v>
      </c>
      <c r="T10" s="22">
        <f>SQRT(SUMSQ($R10,$W12))</f>
        <v>8.2788275825042604E-9</v>
      </c>
      <c r="V10" s="30" t="s">
        <v>90</v>
      </c>
      <c r="W10" s="5">
        <f>ROUND(_xlfn.T.INV((1+0.95)/2,($W9-2)),2)</f>
        <v>2.36</v>
      </c>
      <c r="X10" s="5"/>
      <c r="Y10" s="5" t="s">
        <v>87</v>
      </c>
      <c r="Z10" s="32">
        <f>SQRT(DEVSQ($C8:$L8))</f>
        <v>53.447170177662343</v>
      </c>
      <c r="AA10" s="5"/>
      <c r="AF10">
        <v>3</v>
      </c>
    </row>
    <row r="11" spans="2:32" ht="15.75" thickBot="1" x14ac:dyDescent="0.3">
      <c r="B11" s="21" t="s">
        <v>82</v>
      </c>
      <c r="C11" s="44">
        <f>0.057*3.45+18.872</f>
        <v>19.068650000000002</v>
      </c>
      <c r="D11" s="17"/>
      <c r="E11" s="18"/>
      <c r="F11" s="18"/>
      <c r="G11" s="18"/>
      <c r="H11" s="18"/>
      <c r="I11" s="18"/>
      <c r="J11" s="18"/>
      <c r="K11" s="19"/>
      <c r="L11" s="47">
        <f>0.057*(3.45+60)+18.872</f>
        <v>22.48865</v>
      </c>
      <c r="M11" t="s">
        <v>107</v>
      </c>
      <c r="O11" s="22">
        <f>IF($S$8="Max-Min",MAX($C$9:$L$9)-MIN($C$9:$L$9),$L11-$C11)/10^9</f>
        <v>1.2469000000000001E-8</v>
      </c>
      <c r="P11" s="22">
        <f>ABS(O11)/SQRT($P$13)</f>
        <v>3.5994902532627221E-9</v>
      </c>
      <c r="Q11" s="25">
        <f>ROUNDDOWN(TINV(1-0.95,COUNTA($C$9:$L$9)-1),2)</f>
        <v>2.2999999999999998</v>
      </c>
      <c r="R11" s="22">
        <f>Q11*P11</f>
        <v>8.2788275825042604E-9</v>
      </c>
      <c r="V11" s="30" t="s">
        <v>84</v>
      </c>
      <c r="W11" s="6">
        <f>STEYX($C9:$L9,$C8:$L8)/10^9</f>
        <v>4.0194531860788439E-9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37" spans="2:26" x14ac:dyDescent="0.25">
      <c r="E37" s="30" t="s">
        <v>99</v>
      </c>
      <c r="F37" s="12">
        <f>PEARSON(C3:L3,C2:L2)</f>
        <v>-0.12461991454987401</v>
      </c>
      <c r="P37" s="30" t="s">
        <v>99</v>
      </c>
      <c r="Q37" s="12">
        <f>PEARSON(C9:L9,C8:L8)</f>
        <v>0.27689345267951254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105</v>
      </c>
      <c r="C40" s="5">
        <v>3.45</v>
      </c>
      <c r="D40" s="5">
        <v>10.350000000000001</v>
      </c>
      <c r="E40" s="5">
        <v>17.25</v>
      </c>
      <c r="F40" s="5">
        <v>24.15</v>
      </c>
      <c r="G40" s="5">
        <v>31.049999999999997</v>
      </c>
      <c r="H40" s="5">
        <v>37.949999999999996</v>
      </c>
      <c r="I40" s="5">
        <v>44.849999999999994</v>
      </c>
      <c r="J40" s="5">
        <v>51.749999999999993</v>
      </c>
      <c r="K40" s="5">
        <v>58.649999999999991</v>
      </c>
      <c r="L40" s="5">
        <v>65.55</v>
      </c>
      <c r="O40" t="s">
        <v>105</v>
      </c>
      <c r="P40" s="5">
        <v>3.45</v>
      </c>
      <c r="Q40" s="5">
        <v>10.350000000000001</v>
      </c>
      <c r="R40" s="5">
        <v>17.25</v>
      </c>
      <c r="S40" s="5">
        <v>24.15</v>
      </c>
      <c r="T40" s="5">
        <v>31.049999999999997</v>
      </c>
      <c r="U40" s="5">
        <v>37.949999999999996</v>
      </c>
      <c r="V40" s="5">
        <v>44.849999999999994</v>
      </c>
      <c r="W40" s="5">
        <v>51.749999999999993</v>
      </c>
      <c r="X40" s="5">
        <v>58.649999999999991</v>
      </c>
      <c r="Y40" s="5">
        <v>65.55</v>
      </c>
    </row>
    <row r="41" spans="2:26" x14ac:dyDescent="0.25">
      <c r="B41" t="str">
        <f>B3</f>
        <v>Desvio de Allan (I_1 = 10 mA, tau = 20 s)</v>
      </c>
      <c r="C41" s="12">
        <f>'Estabilidade 10 mA s descarte'!C43</f>
        <v>9.5328999999999997</v>
      </c>
      <c r="D41" s="12">
        <f>'Estabilidade 10 mA s descarte'!D43</f>
        <v>12.513</v>
      </c>
      <c r="E41" s="12">
        <f>'Estabilidade 10 mA s descarte'!E43</f>
        <v>22.236999999999998</v>
      </c>
      <c r="F41" s="12">
        <f>'Estabilidade 10 mA s descarte'!F43</f>
        <v>11.891</v>
      </c>
      <c r="G41" s="12">
        <f>'Estabilidade 10 mA s descarte'!G43</f>
        <v>15.703999999999999</v>
      </c>
      <c r="H41" s="12">
        <f>'Estabilidade 10 mA s descarte'!H43</f>
        <v>23.483000000000001</v>
      </c>
      <c r="I41" s="12">
        <f>'Estabilidade 10 mA s descarte'!I43</f>
        <v>10.732999999999999</v>
      </c>
      <c r="J41" s="12">
        <f>'Estabilidade 10 mA s descarte'!J43</f>
        <v>10.78</v>
      </c>
      <c r="K41" s="12">
        <f>'Estabilidade 10 mA s descarte'!K43</f>
        <v>15.816000000000001</v>
      </c>
      <c r="L41" s="12">
        <f>'Estabilidade 10 mA s descarte'!L43</f>
        <v>11.151999999999999</v>
      </c>
      <c r="M41" t="s">
        <v>107</v>
      </c>
      <c r="O41" t="str">
        <f>B9</f>
        <v>Desvio de Allan (I_1 = 10 mA, tau = 99 s)</v>
      </c>
      <c r="P41" s="12">
        <f>'Estabilidade 10 mA s descarte'!P43</f>
        <v>6.4100999999999999</v>
      </c>
      <c r="Q41" s="12">
        <f>'Estabilidade 10 mA s descarte'!Q43</f>
        <v>15.483000000000001</v>
      </c>
      <c r="R41" s="12">
        <f>'Estabilidade 10 mA s descarte'!R43</f>
        <v>24.292000000000002</v>
      </c>
      <c r="S41" s="12">
        <f>'Estabilidade 10 mA s descarte'!S43</f>
        <v>18.516999999999999</v>
      </c>
      <c r="T41" s="12">
        <f>'Estabilidade 10 mA s descarte'!T43</f>
        <v>17.818000000000001</v>
      </c>
      <c r="U41" s="12">
        <f>'Estabilidade 10 mA s descarte'!U43</f>
        <v>27.952000000000002</v>
      </c>
      <c r="V41" s="12">
        <f>'Estabilidade 10 mA s descarte'!V43</f>
        <v>22.262</v>
      </c>
      <c r="W41" s="12">
        <f>'Estabilidade 10 mA s descarte'!W43</f>
        <v>18.63</v>
      </c>
      <c r="X41" s="12">
        <f>'Estabilidade 10 mA s descarte'!X43</f>
        <v>24.016999999999999</v>
      </c>
      <c r="Y41" s="12">
        <f>'Estabilidade 10 mA s descarte'!Y43</f>
        <v>20.456000000000003</v>
      </c>
      <c r="Z41" t="s">
        <v>107</v>
      </c>
    </row>
    <row r="42" spans="2:26" x14ac:dyDescent="0.25">
      <c r="B42" s="42" t="s">
        <v>103</v>
      </c>
      <c r="C42" s="43" t="str">
        <f>'Estabilidade 10 mA s descarte'!C45</f>
        <v/>
      </c>
      <c r="D42" s="43" t="str">
        <f>'Estabilidade 10 mA s descarte'!D45</f>
        <v/>
      </c>
      <c r="E42" s="43" t="str">
        <f>'Estabilidade 10 mA s descarte'!E45</f>
        <v/>
      </c>
      <c r="F42" s="43" t="str">
        <f>'Estabilidade 10 mA s descarte'!F45</f>
        <v/>
      </c>
      <c r="G42" s="43" t="str">
        <f>'Estabilidade 10 mA s descarte'!G45</f>
        <v/>
      </c>
      <c r="H42" s="43" t="s">
        <v>166</v>
      </c>
      <c r="I42" s="43" t="str">
        <f>'Estabilidade 10 mA s descarte'!I45</f>
        <v/>
      </c>
      <c r="J42" s="43" t="str">
        <f>'Estabilidade 10 mA s descarte'!J45</f>
        <v/>
      </c>
      <c r="K42" s="43" t="str">
        <f>'Estabilidade 10 mA s descarte'!K45</f>
        <v/>
      </c>
      <c r="L42" s="43" t="str">
        <f>'Estabilidade 10 mA s descarte'!L45</f>
        <v/>
      </c>
      <c r="O42" s="42" t="s">
        <v>103</v>
      </c>
      <c r="P42" s="43" t="str">
        <f>'Estabilidade 10 mA s descarte'!P45</f>
        <v>outlier</v>
      </c>
      <c r="Q42" s="43" t="str">
        <f>'Estabilidade 10 mA s descarte'!Q45</f>
        <v/>
      </c>
      <c r="R42" s="43" t="str">
        <f>'Estabilidade 10 mA s descarte'!R45</f>
        <v/>
      </c>
      <c r="S42" s="43" t="str">
        <f>'Estabilidade 10 mA s descarte'!S45</f>
        <v/>
      </c>
      <c r="T42" s="43" t="str">
        <f>'Estabilidade 10 mA s descarte'!T45</f>
        <v/>
      </c>
      <c r="U42" s="43" t="str">
        <f>'Estabilidade 10 mA s descarte'!U45</f>
        <v/>
      </c>
      <c r="V42" s="43" t="str">
        <f>'Estabilidade 10 mA s descarte'!V45</f>
        <v/>
      </c>
      <c r="W42" s="43" t="str">
        <f>'Estabilidade 10 mA s descarte'!W45</f>
        <v/>
      </c>
      <c r="X42" s="43" t="str">
        <f>'Estabilidade 10 mA s descarte'!X45</f>
        <v/>
      </c>
      <c r="Y42" s="43" t="str">
        <f>'Estabilidade 10 mA s descarte'!Y45</f>
        <v/>
      </c>
    </row>
  </sheetData>
  <dataValidations count="3">
    <dataValidation type="list" allowBlank="1" showInputMessage="1" showErrorMessage="1" sqref="S2 S8">
      <formula1>$AF$5:$AF$6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AB6:AE6 AB12">
      <formula1>$AF$2:$AF$3</formula1>
    </dataValidation>
  </dataValidations>
  <pageMargins left="0.7" right="0.7" top="0.75" bottom="0.75" header="0.3" footer="0.3"/>
  <pageSetup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9"/>
  <sheetViews>
    <sheetView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>
        <f t="shared" si="0"/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62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56</v>
      </c>
      <c r="C3" s="44">
        <f>'3 mA'!B21*10^9</f>
        <v>2.2888999999999999</v>
      </c>
      <c r="D3" s="44">
        <f>'3 mA'!C21*10^9</f>
        <v>2.7445000000000004</v>
      </c>
      <c r="E3" s="44">
        <f>'3 mA'!D21*10^9</f>
        <v>2.3819999999999997</v>
      </c>
      <c r="F3" s="44">
        <f>'3 mA'!E21*10^9</f>
        <v>2.6663999999999999</v>
      </c>
      <c r="G3" s="44">
        <f>'3 mA'!F21*10^9</f>
        <v>2.1258999999999997</v>
      </c>
      <c r="H3" s="44">
        <f>'3 mA'!G21*10^9</f>
        <v>2.1779999999999999</v>
      </c>
      <c r="I3" s="44">
        <f>'3 mA'!H21*10^9</f>
        <v>2.8144</v>
      </c>
      <c r="J3" s="44">
        <f>'3 mA'!I21*10^9</f>
        <v>3.0244</v>
      </c>
      <c r="K3" s="44">
        <f>'3 mA'!J21*10^9</f>
        <v>2.0400999999999998</v>
      </c>
      <c r="L3" s="47">
        <f>'3 mA'!K21*10^9</f>
        <v>1.8499000000000001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10</v>
      </c>
      <c r="X3" s="5"/>
      <c r="Y3" s="9" t="s">
        <v>88</v>
      </c>
      <c r="Z3" s="32">
        <f>AVERAGE($C2:$L2)</f>
        <v>34.5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4">
        <f>-0.0045*C$2+2.5682</f>
        <v>2.5526750000000002</v>
      </c>
      <c r="D4" s="17"/>
      <c r="E4" s="18"/>
      <c r="F4" s="18"/>
      <c r="G4" s="18"/>
      <c r="H4" s="18"/>
      <c r="I4" s="18"/>
      <c r="J4" s="18"/>
      <c r="K4" s="19"/>
      <c r="L4" s="47">
        <f>-0.0045*L$2+2.5682</f>
        <v>2.2732250000000001</v>
      </c>
      <c r="M4" t="s">
        <v>107</v>
      </c>
      <c r="O4" s="22">
        <f>IF($S$2="Max-Min",MAX($C$3:$L$3)-MIN($C$3:$L$3),$L4-$C4)/10^9</f>
        <v>1.1744999999999998E-9</v>
      </c>
      <c r="P4" s="22">
        <f>ABS(O4)/SQRT($P$13)</f>
        <v>3.3904894558160768E-10</v>
      </c>
      <c r="Q4" s="25">
        <f>ROUNDDOWN(TINV(1-0.95,COUNTA($C$3:$L$3)-1),2)</f>
        <v>2.2599999999999998</v>
      </c>
      <c r="R4" s="22">
        <f>Q4*P4</f>
        <v>7.6625061701443332E-10</v>
      </c>
      <c r="T4" s="22">
        <f>SQRT(SUMSQ($R4,$W6))</f>
        <v>7.6625061701443332E-10</v>
      </c>
      <c r="V4" s="30" t="s">
        <v>90</v>
      </c>
      <c r="W4" s="5">
        <f>ROUND(_xlfn.T.INV((1+0.95)/2,($W3-2)),2)</f>
        <v>2.31</v>
      </c>
      <c r="X4" s="5"/>
      <c r="Y4" s="5" t="s">
        <v>87</v>
      </c>
      <c r="Z4" s="32">
        <f>SQRT(DEVSQ($C2:$L2))</f>
        <v>62.672362329818071</v>
      </c>
      <c r="AA4" s="5"/>
    </row>
    <row r="5" spans="2:32" ht="15.75" thickBot="1" x14ac:dyDescent="0.3">
      <c r="B5" s="21" t="s">
        <v>82</v>
      </c>
      <c r="C5" s="44">
        <f>-0.0045*C$2+2.5682</f>
        <v>2.5526750000000002</v>
      </c>
      <c r="D5" s="17"/>
      <c r="E5" s="18"/>
      <c r="F5" s="18"/>
      <c r="G5" s="18"/>
      <c r="H5" s="18"/>
      <c r="I5" s="18"/>
      <c r="J5" s="18"/>
      <c r="K5" s="19"/>
      <c r="L5" s="47">
        <f>-0.0045*(60+$C$2)+2.5682</f>
        <v>2.2826750000000002</v>
      </c>
      <c r="M5" t="s">
        <v>107</v>
      </c>
      <c r="O5" s="22">
        <f>IF($S$2="Max-Min",MAX($C$3:$L$3)-MIN($C$3:$L$3),$L5-$C5)/10^9</f>
        <v>1.1744999999999998E-9</v>
      </c>
      <c r="P5" s="22">
        <f>ABS(O5)/SQRT($P$13)</f>
        <v>3.3904894558160768E-10</v>
      </c>
      <c r="Q5" s="25">
        <f>ROUNDDOWN(TINV(1-0.95,COUNTA($C$3:$L$3)-1),2)</f>
        <v>2.2599999999999998</v>
      </c>
      <c r="R5" s="22">
        <f>Q5*P5</f>
        <v>7.6625061701443332E-10</v>
      </c>
      <c r="T5" s="11"/>
      <c r="V5" s="30" t="s">
        <v>84</v>
      </c>
      <c r="W5" s="6">
        <f>STEYX($C3:$L3,$C2:$L2)/10^9</f>
        <v>3.9339043956277582E-10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63</v>
      </c>
      <c r="R8" s="36" t="s">
        <v>96</v>
      </c>
      <c r="S8" s="35" t="s">
        <v>95</v>
      </c>
    </row>
    <row r="9" spans="2:32" ht="15.75" thickBot="1" x14ac:dyDescent="0.3">
      <c r="B9" s="20" t="s">
        <v>61</v>
      </c>
      <c r="C9" s="44">
        <f>'3 mA'!B86*10^9</f>
        <v>1.1859999999999999</v>
      </c>
      <c r="D9" s="44">
        <f>'3 mA'!C86*10^9</f>
        <v>1.7275999999999998</v>
      </c>
      <c r="E9" s="44">
        <f>'3 mA'!D86*10^9</f>
        <v>2.0387</v>
      </c>
      <c r="F9" s="44">
        <f>'3 mA'!E86*10^9</f>
        <v>1.7724</v>
      </c>
      <c r="G9" s="44">
        <f>'3 mA'!F86*10^9</f>
        <v>2.0625999999999998</v>
      </c>
      <c r="H9" s="44">
        <f>'3 mA'!G86*10^9</f>
        <v>1.4773000000000001</v>
      </c>
      <c r="I9" s="44">
        <f>'3 mA'!H86*10^9</f>
        <v>1.9313000000000002</v>
      </c>
      <c r="J9" s="44">
        <f>'3 mA'!I86*10^9</f>
        <v>2.3330000000000002</v>
      </c>
      <c r="K9" s="44">
        <f>'3 mA'!J86*10^9</f>
        <v>1.6234</v>
      </c>
      <c r="L9" s="47">
        <f>'3 mA'!K86*10^9</f>
        <v>1.7116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10</v>
      </c>
      <c r="X9" s="5"/>
      <c r="Y9" s="9" t="s">
        <v>88</v>
      </c>
      <c r="Z9" s="32">
        <f>AVERAGE($C8:$L8)</f>
        <v>34.5</v>
      </c>
      <c r="AA9" s="5" t="s">
        <v>89</v>
      </c>
    </row>
    <row r="10" spans="2:32" ht="15.75" thickBot="1" x14ac:dyDescent="0.3">
      <c r="B10" s="20" t="s">
        <v>55</v>
      </c>
      <c r="C10" s="44">
        <f>0.0047*C$8+1.6238</f>
        <v>1.640015</v>
      </c>
      <c r="D10" s="17"/>
      <c r="E10" s="18"/>
      <c r="F10" s="18"/>
      <c r="G10" s="18"/>
      <c r="H10" s="18"/>
      <c r="I10" s="18"/>
      <c r="J10" s="18"/>
      <c r="K10" s="19"/>
      <c r="L10" s="47">
        <f>0.0047*L$8+1.6238</f>
        <v>1.9318849999999999</v>
      </c>
      <c r="M10" t="s">
        <v>107</v>
      </c>
      <c r="O10" s="22">
        <f>IF($S$8="Max-Min",MAX($C$9:$L$9)-MIN($C$9:$L$9),$L10-$C10)/10^9</f>
        <v>1.1470000000000003E-9</v>
      </c>
      <c r="P10" s="22">
        <f>ABS(O10)/SQRT($P$13)</f>
        <v>3.3111037938025048E-10</v>
      </c>
      <c r="Q10" s="25">
        <f>ROUNDDOWN(TINV(1-0.95,COUNTA($C$3:$L$3)-1),2)</f>
        <v>2.2599999999999998</v>
      </c>
      <c r="R10" s="22">
        <f>Q10*P10</f>
        <v>7.4830945739936602E-10</v>
      </c>
      <c r="T10" s="22">
        <f>SQRT(SUMSQ($R10,$W12))</f>
        <v>7.4830945739936602E-10</v>
      </c>
      <c r="V10" s="30" t="s">
        <v>90</v>
      </c>
      <c r="W10" s="5">
        <f>ROUND(_xlfn.T.INV((1+0.95)/2,($W9-2)),2)</f>
        <v>2.31</v>
      </c>
      <c r="X10" s="5"/>
      <c r="Y10" s="5" t="s">
        <v>87</v>
      </c>
      <c r="Z10" s="32">
        <f>SQRT(DEVSQ($C8:$L8))</f>
        <v>62.672362329818071</v>
      </c>
      <c r="AA10" s="5"/>
      <c r="AF10">
        <v>3</v>
      </c>
    </row>
    <row r="11" spans="2:32" ht="15.75" thickBot="1" x14ac:dyDescent="0.3">
      <c r="B11" s="21" t="s">
        <v>82</v>
      </c>
      <c r="C11" s="44">
        <f>0.0047*C$8+1.6238</f>
        <v>1.640015</v>
      </c>
      <c r="D11" s="17"/>
      <c r="E11" s="18"/>
      <c r="F11" s="18"/>
      <c r="G11" s="18"/>
      <c r="H11" s="18"/>
      <c r="I11" s="18"/>
      <c r="J11" s="18"/>
      <c r="K11" s="19"/>
      <c r="L11" s="47">
        <f>0.0047*(60+$C$8)+1.6238</f>
        <v>1.922015</v>
      </c>
      <c r="M11" t="s">
        <v>107</v>
      </c>
      <c r="O11" s="22">
        <f>IF($S$8="Max-Min",MAX($C$9:$L$9)-MIN($C$9:$L$9),$L11-$C11)/10^9</f>
        <v>1.1470000000000003E-9</v>
      </c>
      <c r="P11" s="22">
        <f>ABS(O11)/SQRT($P$13)</f>
        <v>3.3111037938025048E-10</v>
      </c>
      <c r="Q11" s="25">
        <f>ROUNDDOWN(TINV(1-0.95,COUNTA($C$3:$L$3)-1),2)</f>
        <v>2.2599999999999998</v>
      </c>
      <c r="R11" s="22">
        <f>Q11*P11</f>
        <v>7.4830945739936602E-10</v>
      </c>
      <c r="V11" s="30" t="s">
        <v>84</v>
      </c>
      <c r="W11" s="6">
        <f>STEYX($C9:$L9,$C8:$L8)/10^9</f>
        <v>3.2870268063643132E-10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16" spans="2:32" x14ac:dyDescent="0.25">
      <c r="Y16" s="11"/>
      <c r="Z16" s="11"/>
    </row>
    <row r="37" spans="2:26" x14ac:dyDescent="0.25">
      <c r="E37" s="30" t="s">
        <v>99</v>
      </c>
      <c r="F37" s="12">
        <f>PEARSON(C3:L3,C2:L2)</f>
        <v>-0.24796785187727258</v>
      </c>
      <c r="P37" s="30" t="s">
        <v>99</v>
      </c>
      <c r="Q37" s="12">
        <f>PEARSON(C9:L9,C8:L8)</f>
        <v>0.30269688600963035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101</v>
      </c>
      <c r="C40" s="5">
        <v>10</v>
      </c>
      <c r="O40" t="s">
        <v>101</v>
      </c>
      <c r="P40" s="5">
        <v>10</v>
      </c>
      <c r="Q40" s="5"/>
      <c r="R40" s="5"/>
      <c r="S40" s="5"/>
      <c r="T40" s="5"/>
      <c r="U40" s="5"/>
      <c r="V40" s="5"/>
      <c r="W40" s="5"/>
      <c r="X40" s="5"/>
      <c r="Y40" s="5"/>
    </row>
    <row r="41" spans="2:26" x14ac:dyDescent="0.25">
      <c r="B41" t="s">
        <v>102</v>
      </c>
      <c r="C41" s="45">
        <f>ABS(_xlfn.NORM.S.INV(1/(4*C40)))</f>
        <v>1.9599639845400538</v>
      </c>
      <c r="O41" t="s">
        <v>102</v>
      </c>
      <c r="P41" s="45">
        <f>ABS(_xlfn.NORM.S.INV(1/(4*P40)))</f>
        <v>1.9599639845400538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2:26" x14ac:dyDescent="0.25">
      <c r="B42" t="s">
        <v>105</v>
      </c>
      <c r="C42" s="5">
        <v>3.45</v>
      </c>
      <c r="D42" s="5">
        <v>10.350000000000001</v>
      </c>
      <c r="E42" s="5">
        <v>17.25</v>
      </c>
      <c r="F42" s="5">
        <v>24.15</v>
      </c>
      <c r="G42" s="5">
        <v>31.049999999999997</v>
      </c>
      <c r="H42" s="5">
        <v>37.949999999999996</v>
      </c>
      <c r="I42" s="5">
        <v>44.849999999999994</v>
      </c>
      <c r="J42" s="5">
        <v>51.749999999999993</v>
      </c>
      <c r="K42" s="5">
        <v>58.649999999999991</v>
      </c>
      <c r="L42" s="5">
        <v>65.55</v>
      </c>
      <c r="O42" t="s">
        <v>105</v>
      </c>
      <c r="P42" s="5">
        <v>3.45</v>
      </c>
      <c r="Q42" s="5">
        <v>10.350000000000001</v>
      </c>
      <c r="R42" s="5">
        <v>17.25</v>
      </c>
      <c r="S42" s="5">
        <v>24.15</v>
      </c>
      <c r="T42" s="5">
        <v>31.049999999999997</v>
      </c>
      <c r="U42" s="5">
        <v>37.949999999999996</v>
      </c>
      <c r="V42" s="5">
        <v>44.849999999999994</v>
      </c>
      <c r="W42" s="5">
        <v>51.749999999999993</v>
      </c>
      <c r="X42" s="5">
        <v>58.649999999999991</v>
      </c>
      <c r="Y42" s="5">
        <v>65.55</v>
      </c>
    </row>
    <row r="43" spans="2:26" x14ac:dyDescent="0.25">
      <c r="B43" t="str">
        <f>B3</f>
        <v>Desvio de Allan (I_1 = 3 mA, tau = 20 s)</v>
      </c>
      <c r="C43" s="12">
        <f>C3</f>
        <v>2.2888999999999999</v>
      </c>
      <c r="D43" s="12">
        <f t="shared" ref="D43:L43" si="2">D3</f>
        <v>2.7445000000000004</v>
      </c>
      <c r="E43" s="12">
        <f t="shared" si="2"/>
        <v>2.3819999999999997</v>
      </c>
      <c r="F43" s="12">
        <f t="shared" si="2"/>
        <v>2.6663999999999999</v>
      </c>
      <c r="G43" s="12">
        <f t="shared" si="2"/>
        <v>2.1258999999999997</v>
      </c>
      <c r="H43" s="12">
        <f t="shared" si="2"/>
        <v>2.1779999999999999</v>
      </c>
      <c r="I43" s="12">
        <f t="shared" si="2"/>
        <v>2.8144</v>
      </c>
      <c r="J43" s="12">
        <f t="shared" si="2"/>
        <v>3.0244</v>
      </c>
      <c r="K43" s="12">
        <f t="shared" si="2"/>
        <v>2.0400999999999998</v>
      </c>
      <c r="L43" s="12">
        <f t="shared" si="2"/>
        <v>1.8499000000000001</v>
      </c>
      <c r="M43" t="s">
        <v>107</v>
      </c>
      <c r="O43" t="str">
        <f>B9</f>
        <v>Desvio de Allan (I_1 = 3 mA, tau = 99 s)</v>
      </c>
      <c r="P43" s="12">
        <f>C9</f>
        <v>1.1859999999999999</v>
      </c>
      <c r="Q43" s="12">
        <f t="shared" ref="Q43:Y43" si="3">D9</f>
        <v>1.7275999999999998</v>
      </c>
      <c r="R43" s="12">
        <f t="shared" si="3"/>
        <v>2.0387</v>
      </c>
      <c r="S43" s="12">
        <f t="shared" si="3"/>
        <v>1.7724</v>
      </c>
      <c r="T43" s="12">
        <f t="shared" si="3"/>
        <v>2.0625999999999998</v>
      </c>
      <c r="U43" s="12">
        <f t="shared" si="3"/>
        <v>1.4773000000000001</v>
      </c>
      <c r="V43" s="12">
        <f t="shared" si="3"/>
        <v>1.9313000000000002</v>
      </c>
      <c r="W43" s="12">
        <f t="shared" si="3"/>
        <v>2.3330000000000002</v>
      </c>
      <c r="X43" s="12">
        <f t="shared" si="3"/>
        <v>1.6234</v>
      </c>
      <c r="Y43" s="12">
        <f t="shared" si="3"/>
        <v>1.7116</v>
      </c>
      <c r="Z43" t="s">
        <v>107</v>
      </c>
    </row>
    <row r="44" spans="2:26" x14ac:dyDescent="0.25">
      <c r="B44" t="s">
        <v>100</v>
      </c>
      <c r="C44" s="45">
        <f>ABS((C43-(AVERAGE($C$3:$L$3)))/(STDEVA($C$3:$L$3)))</f>
        <v>0.32010000265226496</v>
      </c>
      <c r="D44" s="45">
        <f t="shared" ref="D44:L44" si="4">ABS((D43-(AVERAGE($C$3:$L$3)))/(STDEVA($C$3:$L$3)))</f>
        <v>0.86992497660821766</v>
      </c>
      <c r="E44" s="45">
        <f t="shared" si="4"/>
        <v>7.6923256451320046E-2</v>
      </c>
      <c r="F44" s="45">
        <f t="shared" si="4"/>
        <v>0.66592815729249288</v>
      </c>
      <c r="G44" s="45">
        <f t="shared" si="4"/>
        <v>0.7458552081383466</v>
      </c>
      <c r="H44" s="45">
        <f t="shared" si="4"/>
        <v>0.60977026209034091</v>
      </c>
      <c r="I44" s="45">
        <f t="shared" si="4"/>
        <v>1.052503435893352</v>
      </c>
      <c r="J44" s="45">
        <f t="shared" si="4"/>
        <v>1.6010224122864622</v>
      </c>
      <c r="K44" s="45">
        <f t="shared" si="4"/>
        <v>0.96996438992181711</v>
      </c>
      <c r="L44" s="45">
        <f t="shared" si="4"/>
        <v>1.4667658628264335</v>
      </c>
      <c r="O44" t="s">
        <v>100</v>
      </c>
      <c r="P44" s="45">
        <f>ABS((P43-(AVERAGE($C$9:$L$9)))/(STDEVA($C$9:$L$9)))</f>
        <v>1.8464559667307467</v>
      </c>
      <c r="Q44" s="45">
        <f t="shared" ref="Q44:Y44" si="5">ABS((Q43-(AVERAGE($C$9:$L$9)))/(STDEVA($C$9:$L$9)))</f>
        <v>0.18080438762154674</v>
      </c>
      <c r="R44" s="45">
        <f t="shared" si="5"/>
        <v>0.77596113353959151</v>
      </c>
      <c r="S44" s="45">
        <f t="shared" si="5"/>
        <v>4.3025231890209112E-2</v>
      </c>
      <c r="T44" s="45">
        <f t="shared" si="5"/>
        <v>0.84946385278019265</v>
      </c>
      <c r="U44" s="45">
        <f t="shared" si="5"/>
        <v>0.95058391171872625</v>
      </c>
      <c r="V44" s="45">
        <f t="shared" si="5"/>
        <v>0.44566021109437798</v>
      </c>
      <c r="W44" s="45">
        <f t="shared" si="5"/>
        <v>1.6810594713014786</v>
      </c>
      <c r="X44" s="45">
        <f t="shared" si="5"/>
        <v>0.50126394180023659</v>
      </c>
      <c r="Y44" s="45">
        <f t="shared" si="5"/>
        <v>0.23001122895416651</v>
      </c>
    </row>
    <row r="45" spans="2:26" x14ac:dyDescent="0.25">
      <c r="B45" s="42" t="s">
        <v>103</v>
      </c>
      <c r="C45" s="43" t="str">
        <f>IF(C44&gt;$C$41,"outlier","")</f>
        <v/>
      </c>
      <c r="D45" s="43" t="str">
        <f t="shared" ref="D45:L45" si="6">IF(D44&gt;$C$41,"outlier","")</f>
        <v/>
      </c>
      <c r="E45" s="43" t="str">
        <f t="shared" si="6"/>
        <v/>
      </c>
      <c r="F45" s="43" t="str">
        <f t="shared" si="6"/>
        <v/>
      </c>
      <c r="G45" s="43" t="str">
        <f t="shared" si="6"/>
        <v/>
      </c>
      <c r="H45" s="43" t="str">
        <f t="shared" si="6"/>
        <v/>
      </c>
      <c r="I45" s="43" t="str">
        <f t="shared" si="6"/>
        <v/>
      </c>
      <c r="J45" s="43" t="str">
        <f t="shared" si="6"/>
        <v/>
      </c>
      <c r="K45" s="43" t="str">
        <f t="shared" si="6"/>
        <v/>
      </c>
      <c r="L45" s="43" t="str">
        <f t="shared" si="6"/>
        <v/>
      </c>
      <c r="O45" s="42" t="s">
        <v>103</v>
      </c>
      <c r="P45" s="43" t="str">
        <f>IF(P44&gt;$P$41,"outlier","")</f>
        <v/>
      </c>
      <c r="Q45" s="43" t="str">
        <f t="shared" ref="Q45:Y45" si="7">IF(Q44&gt;$P$41,"outlier","")</f>
        <v/>
      </c>
      <c r="R45" s="43" t="str">
        <f t="shared" si="7"/>
        <v/>
      </c>
      <c r="S45" s="43" t="str">
        <f t="shared" si="7"/>
        <v/>
      </c>
      <c r="T45" s="43" t="str">
        <f t="shared" si="7"/>
        <v/>
      </c>
      <c r="U45" s="43" t="str">
        <f t="shared" si="7"/>
        <v/>
      </c>
      <c r="V45" s="43" t="str">
        <f t="shared" si="7"/>
        <v/>
      </c>
      <c r="W45" s="43" t="str">
        <f t="shared" si="7"/>
        <v/>
      </c>
      <c r="X45" s="43" t="str">
        <f t="shared" si="7"/>
        <v/>
      </c>
      <c r="Y45" s="43" t="str">
        <f t="shared" si="7"/>
        <v/>
      </c>
    </row>
    <row r="47" spans="2:26" x14ac:dyDescent="0.25">
      <c r="B47" s="41" t="s">
        <v>108</v>
      </c>
      <c r="O47" s="41" t="s">
        <v>108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2:26" x14ac:dyDescent="0.25">
      <c r="B48" t="s">
        <v>109</v>
      </c>
      <c r="C48" s="48">
        <v>0.05</v>
      </c>
      <c r="O48" t="s">
        <v>109</v>
      </c>
      <c r="P48" s="48">
        <v>0.05</v>
      </c>
      <c r="Q48" s="5"/>
      <c r="R48" s="5"/>
      <c r="S48" s="5"/>
      <c r="T48" s="5"/>
      <c r="U48" s="5"/>
      <c r="V48" s="5"/>
      <c r="W48" s="5"/>
      <c r="X48" s="5"/>
      <c r="Y48" s="5"/>
    </row>
    <row r="49" spans="2:25" x14ac:dyDescent="0.25">
      <c r="B49" t="s">
        <v>102</v>
      </c>
      <c r="C49" s="45">
        <f>_xlfn.CHISQ.INV(1-C48, 1)</f>
        <v>3.8414588206941236</v>
      </c>
      <c r="O49" t="s">
        <v>102</v>
      </c>
      <c r="P49" s="45">
        <f>_xlfn.CHISQ.INV(1-P48, 1)</f>
        <v>3.8414588206941236</v>
      </c>
      <c r="Q49" s="5"/>
      <c r="R49" s="5"/>
      <c r="S49" s="5"/>
      <c r="T49" s="5"/>
      <c r="U49" s="5"/>
      <c r="V49" s="5"/>
      <c r="W49" s="5"/>
      <c r="X49" s="5"/>
      <c r="Y49" s="5"/>
    </row>
    <row r="50" spans="2:25" x14ac:dyDescent="0.25">
      <c r="B50" t="s">
        <v>100</v>
      </c>
      <c r="C50" s="12">
        <f t="shared" ref="C50:L50" si="8">((C43-AVERAGE($C$3:$L$3))^2)/((STDEVA($C$3:$L$3))^2)</f>
        <v>0.10246401169798006</v>
      </c>
      <c r="D50" s="12">
        <f t="shared" si="8"/>
        <v>0.75676946492680808</v>
      </c>
      <c r="E50" s="12">
        <f t="shared" si="8"/>
        <v>5.9171873830755521E-3</v>
      </c>
      <c r="F50" s="12">
        <f t="shared" si="8"/>
        <v>0.44346031067497516</v>
      </c>
      <c r="G50" s="12">
        <f t="shared" si="8"/>
        <v>0.5562999915070963</v>
      </c>
      <c r="H50" s="12">
        <f t="shared" si="8"/>
        <v>0.37181977252972304</v>
      </c>
      <c r="I50" s="12">
        <f t="shared" si="8"/>
        <v>1.1077634825673113</v>
      </c>
      <c r="J50" s="12">
        <f t="shared" si="8"/>
        <v>2.5632727646435631</v>
      </c>
      <c r="K50" s="12">
        <f t="shared" si="8"/>
        <v>0.94083091771640293</v>
      </c>
      <c r="L50" s="12">
        <f t="shared" si="8"/>
        <v>2.1514020963529719</v>
      </c>
      <c r="O50" t="s">
        <v>100</v>
      </c>
      <c r="P50" s="12">
        <f>((P43-AVERAGE($C$9:$L$9))^2)/((STDEVA($C$9:$L$9))^2)</f>
        <v>3.4093996370755764</v>
      </c>
      <c r="Q50" s="12">
        <f>((Q43-AVERAGE($C$9:$L$9))^2)/((STDEVA($C$9:$L$9))^2)</f>
        <v>3.2690226583202524E-2</v>
      </c>
      <c r="R50" s="12">
        <f t="shared" ref="R50:Y50" si="9">((R43-AVERAGE($C$9:$L$9))^2)/((STDEVA($C$9:$L$9))^2)</f>
        <v>0.60211568076404776</v>
      </c>
      <c r="S50" s="12">
        <f t="shared" si="9"/>
        <v>1.8511705792062672E-3</v>
      </c>
      <c r="T50" s="12">
        <f t="shared" si="9"/>
        <v>0.72158883718016886</v>
      </c>
      <c r="U50" s="12">
        <f t="shared" si="9"/>
        <v>0.90360977321847524</v>
      </c>
      <c r="V50" s="12">
        <f t="shared" si="9"/>
        <v>0.19861302375268555</v>
      </c>
      <c r="W50" s="12">
        <f t="shared" si="9"/>
        <v>2.8259609460524064</v>
      </c>
      <c r="X50" s="12">
        <f t="shared" si="9"/>
        <v>0.251265539349111</v>
      </c>
      <c r="Y50" s="12">
        <f t="shared" si="9"/>
        <v>5.2905165445006001E-2</v>
      </c>
    </row>
    <row r="51" spans="2:25" x14ac:dyDescent="0.25">
      <c r="B51" t="s">
        <v>103</v>
      </c>
      <c r="C51" s="43" t="str">
        <f>IF(C50&gt;$C$49,"outlier","")</f>
        <v/>
      </c>
      <c r="D51" s="43" t="str">
        <f t="shared" ref="D51:L51" si="10">IF(D50&gt;$C$49,"outlier","")</f>
        <v/>
      </c>
      <c r="E51" s="43" t="str">
        <f t="shared" si="10"/>
        <v/>
      </c>
      <c r="F51" s="43" t="str">
        <f t="shared" si="10"/>
        <v/>
      </c>
      <c r="G51" s="43" t="str">
        <f t="shared" si="10"/>
        <v/>
      </c>
      <c r="H51" s="43" t="str">
        <f t="shared" si="10"/>
        <v/>
      </c>
      <c r="I51" s="43" t="str">
        <f t="shared" si="10"/>
        <v/>
      </c>
      <c r="J51" s="43" t="str">
        <f t="shared" si="10"/>
        <v/>
      </c>
      <c r="K51" s="43" t="str">
        <f t="shared" si="10"/>
        <v/>
      </c>
      <c r="L51" s="43" t="str">
        <f t="shared" si="10"/>
        <v/>
      </c>
      <c r="O51" t="s">
        <v>103</v>
      </c>
      <c r="P51" s="43" t="str">
        <f>IF(P50&gt;$P$49,"outlier","")</f>
        <v/>
      </c>
      <c r="Q51" s="43" t="str">
        <f t="shared" ref="Q51:Y51" si="11">IF(Q50&gt;$P$49,"outlier","")</f>
        <v/>
      </c>
      <c r="R51" s="43" t="str">
        <f t="shared" si="11"/>
        <v/>
      </c>
      <c r="S51" s="43" t="str">
        <f t="shared" si="11"/>
        <v/>
      </c>
      <c r="T51" s="43" t="str">
        <f t="shared" si="11"/>
        <v/>
      </c>
      <c r="U51" s="43" t="str">
        <f t="shared" si="11"/>
        <v/>
      </c>
      <c r="V51" s="43" t="str">
        <f t="shared" si="11"/>
        <v/>
      </c>
      <c r="W51" s="43" t="str">
        <f t="shared" si="11"/>
        <v/>
      </c>
      <c r="X51" s="43" t="str">
        <f t="shared" si="11"/>
        <v/>
      </c>
      <c r="Y51" s="43" t="str">
        <f t="shared" si="11"/>
        <v/>
      </c>
    </row>
    <row r="52" spans="2:25" x14ac:dyDescent="0.25">
      <c r="B52" t="s">
        <v>110</v>
      </c>
      <c r="C52" s="12">
        <f>1-_xlfn.CHISQ.DIST(C50, 1, TRUE)</f>
        <v>0.74889252365062609</v>
      </c>
      <c r="D52" s="12">
        <f t="shared" ref="D52:L52" si="12">1-_xlfn.CHISQ.DIST(D50, 1, TRUE)</f>
        <v>0.38434140499338665</v>
      </c>
      <c r="E52" s="12">
        <f t="shared" si="12"/>
        <v>0.93868459638713153</v>
      </c>
      <c r="F52" s="12">
        <f t="shared" si="12"/>
        <v>0.50545702191374708</v>
      </c>
      <c r="G52" s="12">
        <f t="shared" si="12"/>
        <v>0.45575488556687271</v>
      </c>
      <c r="H52" s="12">
        <f t="shared" si="12"/>
        <v>0.54201400336534378</v>
      </c>
      <c r="I52" s="12">
        <f t="shared" si="12"/>
        <v>0.29256863497371732</v>
      </c>
      <c r="J52" s="12">
        <f t="shared" si="12"/>
        <v>0.10937195520671117</v>
      </c>
      <c r="K52" s="12">
        <f t="shared" si="12"/>
        <v>0.33206424246599842</v>
      </c>
      <c r="L52" s="12">
        <f t="shared" si="12"/>
        <v>0.14243975907250572</v>
      </c>
      <c r="O52" t="s">
        <v>110</v>
      </c>
      <c r="P52" s="12">
        <f>1-_xlfn.CHISQ.DIST(P50, 1, TRUE)</f>
        <v>6.4826027329030977E-2</v>
      </c>
      <c r="Q52" s="12">
        <f t="shared" ref="Q52:Y52" si="13">1-_xlfn.CHISQ.DIST(Q50, 1, TRUE)</f>
        <v>0.85652111904890982</v>
      </c>
      <c r="R52" s="12">
        <f t="shared" si="13"/>
        <v>0.43777193470651588</v>
      </c>
      <c r="S52" s="12">
        <f t="shared" si="13"/>
        <v>0.96568142033385818</v>
      </c>
      <c r="T52" s="12">
        <f t="shared" si="13"/>
        <v>0.39562323581076309</v>
      </c>
      <c r="U52" s="12">
        <f t="shared" si="13"/>
        <v>0.3418156387890231</v>
      </c>
      <c r="V52" s="12">
        <f t="shared" si="13"/>
        <v>0.65584271008921458</v>
      </c>
      <c r="W52" s="12">
        <f t="shared" si="13"/>
        <v>9.2751363563702727E-2</v>
      </c>
      <c r="X52" s="12">
        <f t="shared" si="13"/>
        <v>0.61618537868455459</v>
      </c>
      <c r="Y52" s="12">
        <f t="shared" si="13"/>
        <v>0.81808304418790223</v>
      </c>
    </row>
    <row r="54" spans="2:25" x14ac:dyDescent="0.25">
      <c r="B54" s="41" t="s">
        <v>117</v>
      </c>
      <c r="C54"/>
      <c r="D54"/>
      <c r="E54"/>
      <c r="F54"/>
      <c r="G54"/>
      <c r="H54"/>
      <c r="I54"/>
      <c r="J54"/>
      <c r="K54"/>
      <c r="O54" s="41" t="s">
        <v>117</v>
      </c>
    </row>
    <row r="55" spans="2:25" x14ac:dyDescent="0.25">
      <c r="B55" t="s">
        <v>136</v>
      </c>
      <c r="C55"/>
      <c r="D55"/>
      <c r="E55"/>
      <c r="F55" t="s">
        <v>138</v>
      </c>
      <c r="G55"/>
      <c r="H55"/>
      <c r="I55"/>
      <c r="J55"/>
      <c r="K55"/>
      <c r="O55" t="s">
        <v>142</v>
      </c>
      <c r="S55" t="s">
        <v>140</v>
      </c>
    </row>
    <row r="56" spans="2:25" x14ac:dyDescent="0.25">
      <c r="B56" t="s">
        <v>137</v>
      </c>
      <c r="C56"/>
      <c r="D56"/>
      <c r="E56"/>
      <c r="F56" t="s">
        <v>139</v>
      </c>
      <c r="G56"/>
      <c r="H56"/>
      <c r="I56"/>
      <c r="J56"/>
      <c r="K56"/>
      <c r="O56" t="s">
        <v>143</v>
      </c>
      <c r="S56" t="s">
        <v>141</v>
      </c>
    </row>
    <row r="58" spans="2:25" x14ac:dyDescent="0.25">
      <c r="B58" s="41" t="s">
        <v>152</v>
      </c>
      <c r="O58" s="41" t="s">
        <v>152</v>
      </c>
    </row>
    <row r="59" spans="2:25" x14ac:dyDescent="0.25">
      <c r="B59" t="s">
        <v>155</v>
      </c>
      <c r="O59" t="s">
        <v>156</v>
      </c>
    </row>
  </sheetData>
  <conditionalFormatting sqref="C52:L52">
    <cfRule type="expression" dxfId="7" priority="2">
      <formula>C52&lt;0.05</formula>
    </cfRule>
  </conditionalFormatting>
  <conditionalFormatting sqref="P52:Y52">
    <cfRule type="expression" dxfId="6" priority="1">
      <formula>P52&lt;0.05</formula>
    </cfRule>
  </conditionalFormatting>
  <dataValidations count="3">
    <dataValidation type="list" allowBlank="1" showInputMessage="1" showErrorMessage="1" sqref="AB6:AE6 AB12">
      <formula1>$AF$2:$AF$3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S2 S8">
      <formula1>$AF$5:$AF$6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2"/>
  <sheetViews>
    <sheetView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/>
      <c r="J2" s="14">
        <f>H2+828/60</f>
        <v>51.75</v>
      </c>
      <c r="K2" s="15">
        <f t="shared" si="0"/>
        <v>58.65</v>
      </c>
      <c r="L2" s="16">
        <f t="shared" si="0"/>
        <v>65.55</v>
      </c>
      <c r="P2" t="s">
        <v>75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73</v>
      </c>
      <c r="C3" s="44">
        <f>'1 mA'!B21*10^9</f>
        <v>1.2994000000000001</v>
      </c>
      <c r="D3" s="44">
        <f>'1 mA'!C21*10^9</f>
        <v>1.5152000000000001</v>
      </c>
      <c r="E3" s="44">
        <f>'1 mA'!D21*10^9</f>
        <v>1.3506</v>
      </c>
      <c r="F3" s="44">
        <f>'1 mA'!E21*10^9</f>
        <v>1.3574000000000002</v>
      </c>
      <c r="G3" s="44">
        <f>'1 mA'!F21*10^9</f>
        <v>1.4645000000000001</v>
      </c>
      <c r="H3" s="44">
        <f>'1 mA'!G21*10^9</f>
        <v>1.8406</v>
      </c>
      <c r="I3" s="44"/>
      <c r="J3" s="44">
        <f>'1 mA'!I21*10^9</f>
        <v>1.8714</v>
      </c>
      <c r="K3" s="44">
        <f>'1 mA'!J21*10^9</f>
        <v>2.1614</v>
      </c>
      <c r="L3" s="47">
        <f>'1 mA'!K21*10^9</f>
        <v>2.1203999999999996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9</v>
      </c>
      <c r="X3" s="5"/>
      <c r="Y3" s="9" t="s">
        <v>88</v>
      </c>
      <c r="Z3" s="32">
        <f>AVERAGE($C2:$L2)</f>
        <v>33.349999999999994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4">
        <f>0.014*C$2+1.187</f>
        <v>1.2353000000000001</v>
      </c>
      <c r="D4" s="17"/>
      <c r="E4" s="18"/>
      <c r="F4" s="18"/>
      <c r="G4" s="18"/>
      <c r="H4" s="18"/>
      <c r="I4" s="18"/>
      <c r="J4" s="18"/>
      <c r="K4" s="19"/>
      <c r="L4" s="47">
        <f>0.014*L$2+1.187</f>
        <v>2.1047000000000002</v>
      </c>
      <c r="M4" t="s">
        <v>107</v>
      </c>
      <c r="O4" s="22">
        <f>IF($S$2="Max-Min",MAX($C$3:$L$3)-MIN($C$3:$L$3),$L4-$C4)/10^9</f>
        <v>8.6199999999999992E-10</v>
      </c>
      <c r="P4" s="22">
        <f>ABS(O4)/SQRT($P$13)</f>
        <v>2.488379660207287E-10</v>
      </c>
      <c r="Q4" s="25">
        <f>ROUNDDOWN(TINV(1-0.95,COUNTA($C$3:$L$3)-1),2)</f>
        <v>2.2999999999999998</v>
      </c>
      <c r="R4" s="22">
        <f>Q4*P4</f>
        <v>5.72327321847676E-10</v>
      </c>
      <c r="T4" s="22">
        <f>SQRT(SUMSQ($R4,$W6))</f>
        <v>5.72327321847676E-10</v>
      </c>
      <c r="V4" s="30" t="s">
        <v>90</v>
      </c>
      <c r="W4" s="5">
        <f>ROUND(_xlfn.T.INV((1+0.95)/2,($W3-2)),2)</f>
        <v>2.36</v>
      </c>
      <c r="X4" s="5"/>
      <c r="Y4" s="5" t="s">
        <v>87</v>
      </c>
      <c r="Z4" s="32">
        <f>SQRT(DEVSQ($C2:$L2))</f>
        <v>61.715476178994194</v>
      </c>
      <c r="AA4" s="5"/>
    </row>
    <row r="5" spans="2:32" ht="15.75" thickBot="1" x14ac:dyDescent="0.3">
      <c r="B5" s="21" t="s">
        <v>82</v>
      </c>
      <c r="C5" s="44">
        <f>0.014*C$2+1.187</f>
        <v>1.2353000000000001</v>
      </c>
      <c r="D5" s="17"/>
      <c r="E5" s="18"/>
      <c r="F5" s="18"/>
      <c r="G5" s="18"/>
      <c r="H5" s="18"/>
      <c r="I5" s="18"/>
      <c r="J5" s="18"/>
      <c r="K5" s="19"/>
      <c r="L5" s="47">
        <f>0.014*(60+$C2)+1.187</f>
        <v>2.0753000000000004</v>
      </c>
      <c r="M5" t="s">
        <v>107</v>
      </c>
      <c r="O5" s="22">
        <f>IF($S$2="Max-Min",MAX($C$3:$L$3)-MIN($C$3:$L$3),$L5-$C5)/10^9</f>
        <v>8.6199999999999992E-10</v>
      </c>
      <c r="P5" s="22">
        <f>ABS(O5)/SQRT($P$13)</f>
        <v>2.488379660207287E-10</v>
      </c>
      <c r="Q5" s="25">
        <f>ROUNDDOWN(TINV(1-0.95,COUNTA($C$3:$L$3)-1),2)</f>
        <v>2.2999999999999998</v>
      </c>
      <c r="R5" s="22">
        <f>Q5*P5</f>
        <v>5.72327321847676E-10</v>
      </c>
      <c r="T5" s="11"/>
      <c r="V5" s="30" t="s">
        <v>84</v>
      </c>
      <c r="W5" s="6">
        <f>STEYX($C3:$L3,$C2:$L2)/10^9</f>
        <v>1.391319101094865E-10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K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/>
      <c r="P8" t="s">
        <v>76</v>
      </c>
      <c r="R8" s="36" t="s">
        <v>96</v>
      </c>
      <c r="S8" s="35" t="s">
        <v>95</v>
      </c>
    </row>
    <row r="9" spans="2:32" ht="15.75" thickBot="1" x14ac:dyDescent="0.3">
      <c r="B9" s="20" t="s">
        <v>74</v>
      </c>
      <c r="C9" s="44">
        <f>'1 mA'!B86*10^9</f>
        <v>0.80539000000000005</v>
      </c>
      <c r="D9" s="44">
        <f>'1 mA'!C86*10^9</f>
        <v>0.62700999999999996</v>
      </c>
      <c r="E9" s="44">
        <f>'1 mA'!D86*10^9</f>
        <v>0.62780000000000002</v>
      </c>
      <c r="F9" s="44">
        <f>'1 mA'!E86*10^9</f>
        <v>0.84714</v>
      </c>
      <c r="G9" s="44">
        <f>'1 mA'!F86*10^9</f>
        <v>0.48719000000000007</v>
      </c>
      <c r="H9" s="44">
        <f>'1 mA'!G86*10^9</f>
        <v>1.1437000000000002</v>
      </c>
      <c r="I9" s="44">
        <f>'1 mA'!H86*10^9</f>
        <v>0.72580999999999996</v>
      </c>
      <c r="J9" s="44">
        <f>'1 mA'!I86*10^9</f>
        <v>1.0609</v>
      </c>
      <c r="K9" s="44">
        <f>'1 mA'!J86*10^9</f>
        <v>0.82919999999999994</v>
      </c>
      <c r="L9" s="47"/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9</v>
      </c>
      <c r="X9" s="5"/>
      <c r="Y9" s="9" t="s">
        <v>88</v>
      </c>
      <c r="Z9" s="32">
        <f>AVERAGE($C8:$L8)</f>
        <v>31.049999999999997</v>
      </c>
      <c r="AA9" s="5" t="s">
        <v>89</v>
      </c>
    </row>
    <row r="10" spans="2:32" ht="15.75" thickBot="1" x14ac:dyDescent="0.3">
      <c r="B10" s="20" t="s">
        <v>55</v>
      </c>
      <c r="C10" s="44">
        <f>0.0046*C$8+0.6532</f>
        <v>0.66907000000000005</v>
      </c>
      <c r="D10" s="17"/>
      <c r="E10" s="18"/>
      <c r="F10" s="18"/>
      <c r="G10" s="18"/>
      <c r="H10" s="18"/>
      <c r="I10" s="18"/>
      <c r="J10" s="18"/>
      <c r="K10" s="19"/>
      <c r="L10" s="49">
        <f>0.0046*65.55+0.6532</f>
        <v>0.95472999999999997</v>
      </c>
      <c r="M10" t="s">
        <v>107</v>
      </c>
      <c r="O10" s="22">
        <f>IF($S$8="Max-Min",MAX($C$9:$L$9)-MIN($C$9:$L$9),$L10-$C10)/10^9</f>
        <v>6.5651000000000015E-10</v>
      </c>
      <c r="P10" s="22">
        <f>ABS(O10)/SQRT($P$13)</f>
        <v>1.8951811261284065E-10</v>
      </c>
      <c r="Q10" s="25">
        <f>ROUNDDOWN(TINV(1-0.95,COUNTA($C$3:$L$3)-1),2)</f>
        <v>2.2999999999999998</v>
      </c>
      <c r="R10" s="22">
        <f>Q10*P10</f>
        <v>4.3589165900953345E-10</v>
      </c>
      <c r="T10" s="22">
        <f>SQRT(SUMSQ($R10,$W12))</f>
        <v>4.3589165900953345E-10</v>
      </c>
      <c r="V10" s="30" t="s">
        <v>90</v>
      </c>
      <c r="W10" s="5">
        <f>ROUND(_xlfn.T.INV((1+0.95)/2,($W9-2)),2)</f>
        <v>2.36</v>
      </c>
      <c r="X10" s="5"/>
      <c r="Y10" s="5" t="s">
        <v>87</v>
      </c>
      <c r="Z10" s="32">
        <f>SQRT(DEVSQ($C8:$L8))</f>
        <v>53.447170177662343</v>
      </c>
      <c r="AA10" s="5"/>
      <c r="AF10">
        <v>3</v>
      </c>
    </row>
    <row r="11" spans="2:32" ht="15.75" thickBot="1" x14ac:dyDescent="0.3">
      <c r="B11" s="21" t="s">
        <v>82</v>
      </c>
      <c r="C11" s="44">
        <f>0.0046*C$8+0.6532</f>
        <v>0.66907000000000005</v>
      </c>
      <c r="D11" s="17"/>
      <c r="E11" s="18"/>
      <c r="F11" s="18"/>
      <c r="G11" s="18"/>
      <c r="H11" s="18"/>
      <c r="I11" s="18"/>
      <c r="J11" s="18"/>
      <c r="K11" s="19"/>
      <c r="L11" s="49">
        <f>0.0046*(60+C$8)+0.6532</f>
        <v>0.94507000000000008</v>
      </c>
      <c r="M11" t="s">
        <v>107</v>
      </c>
      <c r="O11" s="22">
        <f>IF($S$8="Max-Min",MAX($C$9:$L$9)-MIN($C$9:$L$9),$L11-$C11)/10^9</f>
        <v>6.5651000000000015E-10</v>
      </c>
      <c r="P11" s="22">
        <f>ABS(O11)/SQRT($P$13)</f>
        <v>1.8951811261284065E-10</v>
      </c>
      <c r="Q11" s="25">
        <f>ROUNDDOWN(TINV(1-0.95,COUNTA($C$3:$L$3)-1),2)</f>
        <v>2.2999999999999998</v>
      </c>
      <c r="R11" s="22">
        <f>Q11*P11</f>
        <v>4.3589165900953345E-10</v>
      </c>
      <c r="V11" s="30" t="s">
        <v>84</v>
      </c>
      <c r="W11" s="6">
        <f>STEYX($C9:$L9,$C8:$L8)/10^9</f>
        <v>2.0441500066818633E-10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37" spans="2:26" x14ac:dyDescent="0.25">
      <c r="E37" s="30" t="s">
        <v>99</v>
      </c>
      <c r="F37" s="12">
        <f>PEARSON(C3:L3,C2:L2)</f>
        <v>0.92316425788548961</v>
      </c>
      <c r="P37" s="30" t="s">
        <v>99</v>
      </c>
      <c r="Q37" s="12">
        <f>PEARSON(C9:L9,C8:L8)</f>
        <v>0.41114671572609152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105</v>
      </c>
      <c r="C40" s="5">
        <v>3.45</v>
      </c>
      <c r="D40" s="5">
        <v>10.350000000000001</v>
      </c>
      <c r="E40" s="5">
        <v>17.25</v>
      </c>
      <c r="F40" s="5">
        <v>24.15</v>
      </c>
      <c r="G40" s="5">
        <v>31.049999999999997</v>
      </c>
      <c r="H40" s="5">
        <v>37.949999999999996</v>
      </c>
      <c r="I40" s="5">
        <v>44.849999999999994</v>
      </c>
      <c r="J40" s="5">
        <v>51.749999999999993</v>
      </c>
      <c r="K40" s="5">
        <v>58.649999999999991</v>
      </c>
      <c r="L40" s="5">
        <v>65.55</v>
      </c>
      <c r="O40" t="s">
        <v>105</v>
      </c>
      <c r="P40" s="5">
        <v>3.45</v>
      </c>
      <c r="Q40" s="5">
        <v>10.350000000000001</v>
      </c>
      <c r="R40" s="5">
        <v>17.25</v>
      </c>
      <c r="S40" s="5">
        <v>24.15</v>
      </c>
      <c r="T40" s="5">
        <v>31.049999999999997</v>
      </c>
      <c r="U40" s="5">
        <v>37.949999999999996</v>
      </c>
      <c r="V40" s="5">
        <v>44.849999999999994</v>
      </c>
      <c r="W40" s="5">
        <v>51.749999999999993</v>
      </c>
      <c r="X40" s="5">
        <v>58.649999999999991</v>
      </c>
      <c r="Y40" s="5">
        <v>65.55</v>
      </c>
    </row>
    <row r="41" spans="2:26" x14ac:dyDescent="0.25">
      <c r="B41" t="str">
        <f>B3</f>
        <v>Desvio de Allan (I_1 = 1 mA, tau = 20 s)</v>
      </c>
      <c r="C41" s="12">
        <f>'Estabilidade 1 mA s descarte'!C43</f>
        <v>1.2994000000000001</v>
      </c>
      <c r="D41" s="12">
        <f>'Estabilidade 1 mA s descarte'!D43</f>
        <v>1.5152000000000001</v>
      </c>
      <c r="E41" s="12">
        <f>'Estabilidade 1 mA s descarte'!E43</f>
        <v>1.3506</v>
      </c>
      <c r="F41" s="12">
        <f>'Estabilidade 1 mA s descarte'!F43</f>
        <v>1.3574000000000002</v>
      </c>
      <c r="G41" s="12">
        <f>'Estabilidade 1 mA s descarte'!G43</f>
        <v>1.4645000000000001</v>
      </c>
      <c r="H41" s="12">
        <f>'Estabilidade 1 mA s descarte'!H43</f>
        <v>1.8406</v>
      </c>
      <c r="I41" s="12">
        <f>'Estabilidade 1 mA s descarte'!I43</f>
        <v>2.7906</v>
      </c>
      <c r="J41" s="12">
        <f>'Estabilidade 1 mA s descarte'!J43</f>
        <v>1.8714</v>
      </c>
      <c r="K41" s="12">
        <f>'Estabilidade 1 mA s descarte'!K43</f>
        <v>2.1614</v>
      </c>
      <c r="L41" s="12">
        <f>'Estabilidade 1 mA s descarte'!L43</f>
        <v>2.1203999999999996</v>
      </c>
      <c r="M41" t="s">
        <v>107</v>
      </c>
      <c r="O41" t="str">
        <f>B9</f>
        <v>Desvio de Allan (I_1 = 1 mA, tau = 99 s)</v>
      </c>
      <c r="P41" s="12">
        <f>'Estabilidade 1 mA s descarte'!P43</f>
        <v>0.80539000000000005</v>
      </c>
      <c r="Q41" s="12">
        <f>'Estabilidade 1 mA s descarte'!Q43</f>
        <v>0.62700999999999996</v>
      </c>
      <c r="R41" s="12">
        <f>'Estabilidade 1 mA s descarte'!R43</f>
        <v>0.62780000000000002</v>
      </c>
      <c r="S41" s="12">
        <f>'Estabilidade 1 mA s descarte'!S43</f>
        <v>0.84714</v>
      </c>
      <c r="T41" s="12">
        <f>'Estabilidade 1 mA s descarte'!T43</f>
        <v>0.48719000000000007</v>
      </c>
      <c r="U41" s="12">
        <f>'Estabilidade 1 mA s descarte'!U43</f>
        <v>1.1437000000000002</v>
      </c>
      <c r="V41" s="12">
        <f>'Estabilidade 1 mA s descarte'!V43</f>
        <v>0.72580999999999996</v>
      </c>
      <c r="W41" s="12">
        <f>'Estabilidade 1 mA s descarte'!W43</f>
        <v>1.0609</v>
      </c>
      <c r="X41" s="12">
        <f>'Estabilidade 1 mA s descarte'!X43</f>
        <v>0.82919999999999994</v>
      </c>
      <c r="Y41" s="12">
        <f>'Estabilidade 1 mA s descarte'!Y43</f>
        <v>1.7516</v>
      </c>
      <c r="Z41" t="s">
        <v>107</v>
      </c>
    </row>
    <row r="42" spans="2:26" x14ac:dyDescent="0.25">
      <c r="B42" s="42" t="s">
        <v>103</v>
      </c>
      <c r="C42" s="43" t="str">
        <f>'Estabilidade 1 mA s descarte'!C45</f>
        <v/>
      </c>
      <c r="D42" s="43" t="str">
        <f>'Estabilidade 1 mA s descarte'!D45</f>
        <v/>
      </c>
      <c r="E42" s="43" t="str">
        <f>'Estabilidade 1 mA s descarte'!E45</f>
        <v/>
      </c>
      <c r="F42" s="43" t="str">
        <f>'Estabilidade 1 mA s descarte'!F45</f>
        <v/>
      </c>
      <c r="G42" s="43" t="str">
        <f>'Estabilidade 1 mA s descarte'!G45</f>
        <v/>
      </c>
      <c r="H42" s="43" t="str">
        <f>'Estabilidade 1 mA s descarte'!H45</f>
        <v/>
      </c>
      <c r="I42" s="43" t="str">
        <f>'Estabilidade 1 mA s descarte'!I45</f>
        <v>outlier</v>
      </c>
      <c r="J42" s="43" t="str">
        <f>'Estabilidade 1 mA s descarte'!J45</f>
        <v/>
      </c>
      <c r="K42" s="43" t="str">
        <f>'Estabilidade 1 mA s descarte'!K45</f>
        <v/>
      </c>
      <c r="L42" s="43" t="str">
        <f>'Estabilidade 1 mA s descarte'!L45</f>
        <v/>
      </c>
      <c r="O42" s="42" t="s">
        <v>103</v>
      </c>
      <c r="P42" s="43" t="str">
        <f>'Estabilidade 1 mA s descarte'!P45</f>
        <v/>
      </c>
      <c r="Q42" s="43" t="str">
        <f>'Estabilidade 1 mA s descarte'!Q45</f>
        <v/>
      </c>
      <c r="R42" s="43" t="str">
        <f>'Estabilidade 1 mA s descarte'!R45</f>
        <v/>
      </c>
      <c r="S42" s="43" t="str">
        <f>'Estabilidade 1 mA s descarte'!S45</f>
        <v/>
      </c>
      <c r="T42" s="43" t="str">
        <f>'Estabilidade 1 mA s descarte'!T45</f>
        <v/>
      </c>
      <c r="U42" s="43" t="str">
        <f>'Estabilidade 1 mA s descarte'!U45</f>
        <v/>
      </c>
      <c r="V42" s="43" t="str">
        <f>'Estabilidade 1 mA s descarte'!V45</f>
        <v/>
      </c>
      <c r="W42" s="43" t="str">
        <f>'Estabilidade 1 mA s descarte'!W45</f>
        <v/>
      </c>
      <c r="X42" s="43" t="str">
        <f>'Estabilidade 1 mA s descarte'!X45</f>
        <v/>
      </c>
      <c r="Y42" s="43" t="str">
        <f>'Estabilidade 1 mA s descarte'!Y45</f>
        <v>outlier</v>
      </c>
    </row>
  </sheetData>
  <dataValidations disablePrompts="1" count="3">
    <dataValidation type="list" allowBlank="1" showInputMessage="1" showErrorMessage="1" sqref="S2 S8">
      <formula1>$AF$5:$AF$6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AB6:AE6 AB12">
      <formula1>$AF$2:$AF$3</formula1>
    </dataValidation>
  </dataValidation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2"/>
  <sheetViews>
    <sheetView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/>
      <c r="H2" s="14">
        <f>F2+828/60</f>
        <v>37.950000000000003</v>
      </c>
      <c r="I2" s="14">
        <f t="shared" si="0"/>
        <v>44.85</v>
      </c>
      <c r="J2" s="14">
        <f t="shared" si="0"/>
        <v>51.75</v>
      </c>
      <c r="K2" s="15">
        <f t="shared" si="0"/>
        <v>58.65</v>
      </c>
      <c r="L2" s="16">
        <f t="shared" si="0"/>
        <v>65.55</v>
      </c>
      <c r="P2" t="s">
        <v>79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77</v>
      </c>
      <c r="C3" s="44">
        <f>'300 uA'!B21*10^9</f>
        <v>0.86825999999999992</v>
      </c>
      <c r="D3" s="44">
        <f>'300 uA'!C21*10^9</f>
        <v>1.5247999999999999</v>
      </c>
      <c r="E3" s="44">
        <f>'300 uA'!D21*10^9</f>
        <v>0.69862999999999997</v>
      </c>
      <c r="F3" s="44">
        <f>'300 uA'!E21*10^9</f>
        <v>0.78645999999999994</v>
      </c>
      <c r="G3" s="44"/>
      <c r="H3" s="44">
        <f>'300 uA'!G21*10^9</f>
        <v>1.1187</v>
      </c>
      <c r="I3" s="44">
        <f>'300 uA'!H21*10^9</f>
        <v>1.1547000000000001</v>
      </c>
      <c r="J3" s="44">
        <f>'300 uA'!I21*10^9</f>
        <v>0.96628999999999998</v>
      </c>
      <c r="K3" s="44">
        <f>'300 uA'!J21*10^9</f>
        <v>0.88751999999999998</v>
      </c>
      <c r="L3" s="47">
        <f>'300 uA'!K21*10^9</f>
        <v>1.3307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9</v>
      </c>
      <c r="X3" s="5"/>
      <c r="Y3" s="9" t="s">
        <v>88</v>
      </c>
      <c r="Z3" s="32">
        <f>AVERAGE($C2:$L2)</f>
        <v>34.883333333333333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6">
        <f>0.002*C$2+0.9689</f>
        <v>0.9758</v>
      </c>
      <c r="D4" s="17"/>
      <c r="E4" s="18"/>
      <c r="F4" s="18"/>
      <c r="G4" s="18"/>
      <c r="H4" s="18"/>
      <c r="I4" s="18"/>
      <c r="J4" s="18"/>
      <c r="K4" s="19"/>
      <c r="L4" s="49">
        <f>0.002*L$2+0.9689</f>
        <v>1.1000000000000001</v>
      </c>
      <c r="M4" t="s">
        <v>107</v>
      </c>
      <c r="O4" s="22">
        <f>IF($S$2="Max-Min",MAX($C$3:$L$3)-MIN($C$3:$L$3),$L4-$C4)/10^9</f>
        <v>8.2616999999999995E-10</v>
      </c>
      <c r="P4" s="22">
        <f>ABS(O4)/SQRT($P$13)</f>
        <v>2.3849473594819654E-10</v>
      </c>
      <c r="Q4" s="25">
        <f>ROUNDDOWN(TINV(1-0.95,COUNTA($C$3:$L$3)-1),2)</f>
        <v>2.2999999999999998</v>
      </c>
      <c r="R4" s="22">
        <f>Q4*P4</f>
        <v>5.48537892680852E-10</v>
      </c>
      <c r="T4" s="22">
        <f>SQRT(SUMSQ($R4,$W6))</f>
        <v>5.48537892680852E-10</v>
      </c>
      <c r="V4" s="30" t="s">
        <v>90</v>
      </c>
      <c r="W4" s="5">
        <f>ROUND(_xlfn.T.INV((1+0.95)/2,($W3-2)),2)</f>
        <v>2.36</v>
      </c>
      <c r="X4" s="5"/>
      <c r="Y4" s="5" t="s">
        <v>87</v>
      </c>
      <c r="Z4" s="32">
        <f>SQRT(DEVSQ($C2:$L2))</f>
        <v>62.566764340183035</v>
      </c>
      <c r="AA4" s="5"/>
    </row>
    <row r="5" spans="2:32" ht="15.75" thickBot="1" x14ac:dyDescent="0.3">
      <c r="B5" s="21" t="s">
        <v>82</v>
      </c>
      <c r="C5" s="46">
        <f>0.002*C$2+0.9689</f>
        <v>0.9758</v>
      </c>
      <c r="D5" s="17"/>
      <c r="E5" s="18"/>
      <c r="F5" s="18"/>
      <c r="G5" s="18"/>
      <c r="H5" s="18"/>
      <c r="I5" s="18"/>
      <c r="J5" s="18"/>
      <c r="K5" s="19"/>
      <c r="L5" s="49">
        <f>0.002*(60+C$2)+0.9689</f>
        <v>1.0958000000000001</v>
      </c>
      <c r="M5" t="s">
        <v>107</v>
      </c>
      <c r="O5" s="22">
        <f>IF($S$2="Max-Min",MAX($C$3:$L$3)-MIN($C$3:$L$3),$L5-$C5)/10^9</f>
        <v>8.2616999999999995E-10</v>
      </c>
      <c r="P5" s="22">
        <f>ABS(O5)/SQRT($P$13)</f>
        <v>2.3849473594819654E-10</v>
      </c>
      <c r="Q5" s="25">
        <f>ROUNDDOWN(TINV(1-0.95,COUNTA($C$3:$L$3)-1),2)</f>
        <v>2.2999999999999998</v>
      </c>
      <c r="R5" s="22">
        <f>Q5*P5</f>
        <v>5.48537892680852E-10</v>
      </c>
      <c r="T5" s="11"/>
      <c r="V5" s="30" t="s">
        <v>84</v>
      </c>
      <c r="W5" s="6">
        <f>STEYX($C3:$L3,$C2:$L2)/10^9</f>
        <v>2.8353882631418482E-10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/>
      <c r="E8" s="14">
        <f>C8+828/60</f>
        <v>17.25</v>
      </c>
      <c r="F8" s="14">
        <f t="shared" ref="F8:L8" si="1">E8+414/60</f>
        <v>24.15</v>
      </c>
      <c r="G8" s="14"/>
      <c r="H8" s="14">
        <f>F8+828/60</f>
        <v>37.950000000000003</v>
      </c>
      <c r="I8" s="14">
        <f t="shared" si="1"/>
        <v>44.85</v>
      </c>
      <c r="J8" s="14">
        <f t="shared" si="1"/>
        <v>51.75</v>
      </c>
      <c r="K8" s="15">
        <f t="shared" si="1"/>
        <v>58.65</v>
      </c>
      <c r="L8" s="16">
        <f t="shared" si="1"/>
        <v>65.55</v>
      </c>
      <c r="P8" t="s">
        <v>80</v>
      </c>
      <c r="R8" s="36" t="s">
        <v>96</v>
      </c>
      <c r="S8" s="35" t="s">
        <v>95</v>
      </c>
    </row>
    <row r="9" spans="2:32" ht="15.75" thickBot="1" x14ac:dyDescent="0.3">
      <c r="B9" s="20" t="s">
        <v>78</v>
      </c>
      <c r="C9" s="44">
        <f>'300 uA'!B86*10^9</f>
        <v>0.45378000000000002</v>
      </c>
      <c r="D9" s="44"/>
      <c r="E9" s="44">
        <f>'300 uA'!D86*10^9</f>
        <v>0.45235999999999998</v>
      </c>
      <c r="F9" s="44">
        <f>'300 uA'!E86*10^9</f>
        <v>0.63966000000000001</v>
      </c>
      <c r="G9" s="44"/>
      <c r="H9" s="44">
        <f>'300 uA'!G86*10^9</f>
        <v>0.47693000000000002</v>
      </c>
      <c r="I9" s="44">
        <f>'300 uA'!H86*10^9</f>
        <v>0.31669999999999998</v>
      </c>
      <c r="J9" s="44">
        <f>'300 uA'!I86*10^9</f>
        <v>0.43179000000000001</v>
      </c>
      <c r="K9" s="44">
        <f>'300 uA'!J86*10^9</f>
        <v>0.42266999999999999</v>
      </c>
      <c r="L9" s="47">
        <f>'300 uA'!K86*10^9</f>
        <v>0.34642000000000001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8</v>
      </c>
      <c r="X9" s="5"/>
      <c r="Y9" s="9" t="s">
        <v>88</v>
      </c>
      <c r="Z9" s="32">
        <f>AVERAGE($C8:$L8)</f>
        <v>37.950000000000003</v>
      </c>
      <c r="AA9" s="5" t="s">
        <v>89</v>
      </c>
    </row>
    <row r="10" spans="2:32" ht="15.75" thickBot="1" x14ac:dyDescent="0.3">
      <c r="B10" s="20" t="s">
        <v>55</v>
      </c>
      <c r="C10" s="46">
        <f>-0.0023*C$8+0.5292</f>
        <v>0.52126499999999998</v>
      </c>
      <c r="D10" s="17"/>
      <c r="E10" s="18"/>
      <c r="F10" s="18"/>
      <c r="G10" s="18"/>
      <c r="H10" s="18"/>
      <c r="I10" s="18"/>
      <c r="J10" s="18"/>
      <c r="K10" s="19"/>
      <c r="L10" s="46">
        <f>-0.0023*L$8+0.5292</f>
        <v>0.37843500000000002</v>
      </c>
      <c r="M10" t="s">
        <v>107</v>
      </c>
      <c r="O10" s="22">
        <f>IF($S$8="Max-Min",MAX($C$9:$L$9)-MIN($C$9:$L$9),$L10-$C10)/10^9</f>
        <v>3.2296000000000004E-10</v>
      </c>
      <c r="P10" s="22">
        <f>ABS(O10)/SQRT($P$13)</f>
        <v>9.3230521468740785E-11</v>
      </c>
      <c r="Q10" s="25">
        <f>ROUNDDOWN(TINV(1-0.95,COUNTA($C$9:$L$9)-1),2)</f>
        <v>2.36</v>
      </c>
      <c r="R10" s="22">
        <f>Q10*P10</f>
        <v>2.2002403066622824E-10</v>
      </c>
      <c r="T10" s="22">
        <f>SQRT(SUMSQ($R10,$W12))</f>
        <v>2.2002403066622824E-10</v>
      </c>
      <c r="V10" s="30" t="s">
        <v>90</v>
      </c>
      <c r="W10" s="5">
        <f>ROUND(_xlfn.T.INV((1+0.95)/2,($W9-2)),2)</f>
        <v>2.4500000000000002</v>
      </c>
      <c r="X10" s="5"/>
      <c r="Y10" s="5" t="s">
        <v>87</v>
      </c>
      <c r="Z10" s="32">
        <f>SQRT(DEVSQ($C8:$L8))</f>
        <v>56.898857633523711</v>
      </c>
      <c r="AA10" s="5"/>
      <c r="AF10">
        <v>3</v>
      </c>
    </row>
    <row r="11" spans="2:32" ht="15.75" thickBot="1" x14ac:dyDescent="0.3">
      <c r="B11" s="21" t="s">
        <v>82</v>
      </c>
      <c r="C11" s="46">
        <f>-0.0023*C$8+0.5292</f>
        <v>0.52126499999999998</v>
      </c>
      <c r="D11" s="17"/>
      <c r="E11" s="18"/>
      <c r="F11" s="18"/>
      <c r="G11" s="18"/>
      <c r="H11" s="18"/>
      <c r="I11" s="18"/>
      <c r="J11" s="18"/>
      <c r="K11" s="19"/>
      <c r="L11" s="46">
        <f>-0.0023*(60+C$8)+0.5292</f>
        <v>0.38326499999999997</v>
      </c>
      <c r="M11" t="s">
        <v>107</v>
      </c>
      <c r="O11" s="22">
        <f>IF($S$8="Max-Min",MAX($C$9:$L$9)-MIN($C$9:$L$9),$L11-$C11)/10^9</f>
        <v>3.2296000000000004E-10</v>
      </c>
      <c r="P11" s="22">
        <f>ABS(O11)/SQRT($P$13)</f>
        <v>9.3230521468740785E-11</v>
      </c>
      <c r="Q11" s="25">
        <f>ROUNDDOWN(TINV(1-0.95,COUNTA($C$9:$L$9)-1),2)</f>
        <v>2.36</v>
      </c>
      <c r="R11" s="22">
        <f>Q11*P11</f>
        <v>2.2002403066622824E-10</v>
      </c>
      <c r="V11" s="30" t="s">
        <v>84</v>
      </c>
      <c r="W11" s="6">
        <f>STEYX($C9:$L9,$C8:$L8)/10^9</f>
        <v>9.0340309650075749E-11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15" spans="2:32" x14ac:dyDescent="0.25">
      <c r="Y15" s="11"/>
      <c r="Z15" s="11"/>
    </row>
    <row r="37" spans="2:26" x14ac:dyDescent="0.25">
      <c r="E37" s="30" t="s">
        <v>99</v>
      </c>
      <c r="F37" s="12">
        <f>PEARSON(C3:L3,C2:L2)</f>
        <v>0.16142998418492846</v>
      </c>
      <c r="P37" s="30" t="s">
        <v>99</v>
      </c>
      <c r="Q37" s="12">
        <f>PEARSON(C9:L9,C8:L8)</f>
        <v>-0.50629218383300345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105</v>
      </c>
      <c r="C40" s="5">
        <v>3.45</v>
      </c>
      <c r="D40" s="5">
        <v>10.350000000000001</v>
      </c>
      <c r="E40" s="5">
        <v>17.25</v>
      </c>
      <c r="F40" s="5">
        <v>24.15</v>
      </c>
      <c r="G40" s="5">
        <v>31.049999999999997</v>
      </c>
      <c r="H40" s="5">
        <v>37.949999999999996</v>
      </c>
      <c r="I40" s="5">
        <v>44.849999999999994</v>
      </c>
      <c r="J40" s="5">
        <v>51.749999999999993</v>
      </c>
      <c r="K40" s="5">
        <v>58.649999999999991</v>
      </c>
      <c r="L40" s="5">
        <v>65.55</v>
      </c>
      <c r="O40" t="s">
        <v>105</v>
      </c>
      <c r="P40" s="5">
        <v>3.45</v>
      </c>
      <c r="Q40" s="5">
        <v>10.350000000000001</v>
      </c>
      <c r="R40" s="5">
        <v>17.25</v>
      </c>
      <c r="S40" s="5">
        <v>24.15</v>
      </c>
      <c r="T40" s="5">
        <v>31.049999999999997</v>
      </c>
      <c r="U40" s="5">
        <v>37.949999999999996</v>
      </c>
      <c r="V40" s="5">
        <v>44.849999999999994</v>
      </c>
      <c r="W40" s="5">
        <v>51.749999999999993</v>
      </c>
      <c r="X40" s="5">
        <v>58.649999999999991</v>
      </c>
      <c r="Y40" s="5">
        <v>65.55</v>
      </c>
    </row>
    <row r="41" spans="2:26" x14ac:dyDescent="0.25">
      <c r="B41" t="str">
        <f>B3</f>
        <v>Desvio de Allan (I_1 = 300 uA, tau = 20 s)</v>
      </c>
      <c r="C41" s="12">
        <f>'Estabilidade 300 uA s descarte'!C43</f>
        <v>0.86825999999999992</v>
      </c>
      <c r="D41" s="12">
        <f>'Estabilidade 300 uA s descarte'!D43</f>
        <v>1.5247999999999999</v>
      </c>
      <c r="E41" s="12">
        <f>'Estabilidade 300 uA s descarte'!E43</f>
        <v>0.69862999999999997</v>
      </c>
      <c r="F41" s="12">
        <f>'Estabilidade 300 uA s descarte'!F43</f>
        <v>0.78645999999999994</v>
      </c>
      <c r="G41" s="12">
        <f>'Estabilidade 300 uA s descarte'!G43</f>
        <v>2.5337000000000001</v>
      </c>
      <c r="H41" s="12">
        <f>'Estabilidade 300 uA s descarte'!H43</f>
        <v>1.1187</v>
      </c>
      <c r="I41" s="12">
        <f>'Estabilidade 300 uA s descarte'!I43</f>
        <v>1.1547000000000001</v>
      </c>
      <c r="J41" s="12">
        <f>'Estabilidade 300 uA s descarte'!J43</f>
        <v>0.96628999999999998</v>
      </c>
      <c r="K41" s="12">
        <f>'Estabilidade 300 uA s descarte'!K43</f>
        <v>0.88751999999999998</v>
      </c>
      <c r="L41" s="12">
        <f>'Estabilidade 300 uA s descarte'!L43</f>
        <v>1.3307</v>
      </c>
      <c r="M41" t="s">
        <v>107</v>
      </c>
      <c r="O41" t="str">
        <f>B9</f>
        <v>Desvio de Allan (I_1 = 300 uA, tau = 99 s)</v>
      </c>
      <c r="P41" s="12">
        <f>'Estabilidade 300 uA s descarte'!P43</f>
        <v>0.45378000000000002</v>
      </c>
      <c r="Q41" s="12">
        <f>'Estabilidade 300 uA s descarte'!Q43</f>
        <v>0.98033000000000003</v>
      </c>
      <c r="R41" s="12">
        <f>'Estabilidade 300 uA s descarte'!R43</f>
        <v>0.45235999999999998</v>
      </c>
      <c r="S41" s="12">
        <f>'Estabilidade 300 uA s descarte'!S43</f>
        <v>0.63966000000000001</v>
      </c>
      <c r="T41" s="12">
        <f>'Estabilidade 300 uA s descarte'!T43</f>
        <v>1.6984000000000001</v>
      </c>
      <c r="U41" s="12">
        <f>'Estabilidade 300 uA s descarte'!U43</f>
        <v>0.47693000000000002</v>
      </c>
      <c r="V41" s="12">
        <f>'Estabilidade 300 uA s descarte'!V43</f>
        <v>0.31669999999999998</v>
      </c>
      <c r="W41" s="12">
        <f>'Estabilidade 300 uA s descarte'!W43</f>
        <v>0.43179000000000001</v>
      </c>
      <c r="X41" s="12">
        <f>'Estabilidade 300 uA s descarte'!X43</f>
        <v>0.42266999999999999</v>
      </c>
      <c r="Y41" s="12">
        <f>'Estabilidade 300 uA s descarte'!Y43</f>
        <v>0.34642000000000001</v>
      </c>
      <c r="Z41" t="s">
        <v>107</v>
      </c>
    </row>
    <row r="42" spans="2:26" x14ac:dyDescent="0.25">
      <c r="B42" s="42" t="s">
        <v>103</v>
      </c>
      <c r="C42" s="43" t="str">
        <f>'Estabilidade 300 uA s descarte'!C45</f>
        <v/>
      </c>
      <c r="D42" s="43" t="str">
        <f>'Estabilidade 300 uA s descarte'!D45</f>
        <v/>
      </c>
      <c r="E42" s="43" t="str">
        <f>'Estabilidade 300 uA s descarte'!E45</f>
        <v/>
      </c>
      <c r="F42" s="43" t="str">
        <f>'Estabilidade 300 uA s descarte'!F45</f>
        <v/>
      </c>
      <c r="G42" s="43" t="str">
        <f>'Estabilidade 300 uA s descarte'!G45</f>
        <v>outlier</v>
      </c>
      <c r="H42" s="43" t="str">
        <f>'Estabilidade 300 uA s descarte'!H45</f>
        <v/>
      </c>
      <c r="I42" s="43" t="str">
        <f>'Estabilidade 300 uA s descarte'!I45</f>
        <v/>
      </c>
      <c r="J42" s="43" t="str">
        <f>'Estabilidade 300 uA s descarte'!J45</f>
        <v/>
      </c>
      <c r="K42" s="43" t="str">
        <f>'Estabilidade 300 uA s descarte'!K45</f>
        <v/>
      </c>
      <c r="L42" s="43" t="str">
        <f>'Estabilidade 300 uA s descarte'!L45</f>
        <v/>
      </c>
      <c r="O42" s="42" t="s">
        <v>103</v>
      </c>
      <c r="P42" s="43" t="str">
        <f>'Estabilidade 300 uA s descarte'!P45</f>
        <v/>
      </c>
      <c r="Q42" s="43" t="s">
        <v>166</v>
      </c>
      <c r="R42" s="43" t="str">
        <f>'Estabilidade 300 uA s descarte'!R45</f>
        <v/>
      </c>
      <c r="S42" s="43" t="str">
        <f>'Estabilidade 300 uA s descarte'!S45</f>
        <v/>
      </c>
      <c r="T42" s="43" t="str">
        <f>'Estabilidade 300 uA s descarte'!T45</f>
        <v>outlier</v>
      </c>
      <c r="U42" s="43" t="str">
        <f>'Estabilidade 300 uA s descarte'!U45</f>
        <v/>
      </c>
      <c r="V42" s="43" t="str">
        <f>'Estabilidade 300 uA s descarte'!V45</f>
        <v/>
      </c>
      <c r="W42" s="43" t="str">
        <f>'Estabilidade 300 uA s descarte'!W45</f>
        <v/>
      </c>
      <c r="X42" s="43" t="str">
        <f>'Estabilidade 300 uA s descarte'!X45</f>
        <v/>
      </c>
      <c r="Y42" s="43" t="str">
        <f>'Estabilidade 300 uA s descarte'!Y45</f>
        <v/>
      </c>
    </row>
  </sheetData>
  <dataValidations count="3">
    <dataValidation type="list" allowBlank="1" showInputMessage="1" showErrorMessage="1" sqref="AB6:AE6 AB12">
      <formula1>$AF$2:$AF$3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S2 S8">
      <formula1>$AF$5:$AF$6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F63"/>
  <sheetViews>
    <sheetView zoomScale="85" zoomScaleNormal="85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>
        <f t="shared" si="0"/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70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68</v>
      </c>
      <c r="C3" s="44">
        <f>'10 mA'!B21*10^9</f>
        <v>9.5328999999999997</v>
      </c>
      <c r="D3" s="44">
        <f>'10 mA'!C21*10^9</f>
        <v>12.513</v>
      </c>
      <c r="E3" s="44">
        <f>'10 mA'!D21*10^9</f>
        <v>22.236999999999998</v>
      </c>
      <c r="F3" s="44">
        <f>'10 mA'!E21*10^9</f>
        <v>11.891</v>
      </c>
      <c r="G3" s="44">
        <f>'10 mA'!F21*10^9</f>
        <v>15.703999999999999</v>
      </c>
      <c r="H3" s="44">
        <f>'10 mA'!G21*10^9</f>
        <v>23.483000000000001</v>
      </c>
      <c r="I3" s="44">
        <f>'10 mA'!H21*10^9</f>
        <v>10.732999999999999</v>
      </c>
      <c r="J3" s="44">
        <f>'10 mA'!I21*10^9</f>
        <v>10.78</v>
      </c>
      <c r="K3" s="44">
        <f>'10 mA'!J21*10^9</f>
        <v>15.816000000000001</v>
      </c>
      <c r="L3" s="47">
        <f>'10 mA'!K21*10^9</f>
        <v>11.151999999999999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10</v>
      </c>
      <c r="X3" s="5"/>
      <c r="Y3" s="9" t="s">
        <v>88</v>
      </c>
      <c r="Z3" s="32">
        <f>AVERAGE($C2:$L2)</f>
        <v>34.5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6">
        <f>-0.013*C$2+14.847</f>
        <v>14.802149999999999</v>
      </c>
      <c r="D4" s="17"/>
      <c r="E4" s="18"/>
      <c r="F4" s="18"/>
      <c r="G4" s="18"/>
      <c r="H4" s="18"/>
      <c r="I4" s="18"/>
      <c r="J4" s="18"/>
      <c r="K4" s="19"/>
      <c r="L4" s="47">
        <f>-0.013*L$2+14.847</f>
        <v>13.99485</v>
      </c>
      <c r="M4" t="s">
        <v>107</v>
      </c>
      <c r="O4" s="22">
        <f>IF($S$2="Max-Min",MAX($C$3:$L$3)-MIN($C$3:$L$3),$L4-$C4)/10^9</f>
        <v>1.3950100000000001E-8</v>
      </c>
      <c r="P4" s="22">
        <f>ABS(O4)/SQRT($P$13)</f>
        <v>4.0270469951110999E-9</v>
      </c>
      <c r="Q4" s="25">
        <f>ROUNDDOWN(TINV(1-0.95,COUNTA($C$3:$L$3)-1),2)</f>
        <v>2.2599999999999998</v>
      </c>
      <c r="R4" s="22">
        <f>Q4*P4</f>
        <v>9.1011262089510856E-9</v>
      </c>
      <c r="T4" s="22">
        <f>SQRT(SUMSQ($R4,$W6))</f>
        <v>9.1011262089510856E-9</v>
      </c>
      <c r="V4" s="30" t="s">
        <v>90</v>
      </c>
      <c r="W4" s="5">
        <f>ROUND(_xlfn.T.INV((1+0.95)/2,($W3-2)),2)</f>
        <v>2.31</v>
      </c>
      <c r="X4" s="5"/>
      <c r="Y4" s="5" t="s">
        <v>87</v>
      </c>
      <c r="Z4" s="32">
        <f>SQRT(DEVSQ($C2:$L2))</f>
        <v>62.672362329818071</v>
      </c>
      <c r="AA4" s="5"/>
    </row>
    <row r="5" spans="2:32" ht="15.75" thickBot="1" x14ac:dyDescent="0.3">
      <c r="B5" s="21" t="s">
        <v>82</v>
      </c>
      <c r="C5" s="46">
        <f>-0.013*C$2+14.847</f>
        <v>14.802149999999999</v>
      </c>
      <c r="D5" s="17"/>
      <c r="E5" s="18"/>
      <c r="F5" s="18"/>
      <c r="G5" s="18"/>
      <c r="H5" s="18"/>
      <c r="I5" s="18"/>
      <c r="J5" s="18"/>
      <c r="K5" s="19"/>
      <c r="L5" s="47">
        <f>-0.013*(60+C$2)+14.847</f>
        <v>14.02215</v>
      </c>
      <c r="M5" t="s">
        <v>107</v>
      </c>
      <c r="O5" s="22">
        <f>IF($S$2="Max-Min",MAX($C$3:$L$3)-MIN($C$3:$L$3),$L5-$C5)/10^9</f>
        <v>1.3950100000000001E-8</v>
      </c>
      <c r="P5" s="22">
        <f>ABS(O5)/SQRT($P$13)</f>
        <v>4.0270469951110999E-9</v>
      </c>
      <c r="Q5" s="25">
        <f>ROUNDDOWN(TINV(1-0.95,COUNTA($C$3:$L$3)-1),2)</f>
        <v>2.2599999999999998</v>
      </c>
      <c r="R5" s="22">
        <f>Q5*P5</f>
        <v>9.1011262089510856E-9</v>
      </c>
      <c r="T5" s="11"/>
      <c r="V5" s="30" t="s">
        <v>84</v>
      </c>
      <c r="W5" s="6">
        <f>STEYX($C3:$L3,$C2:$L2)/10^9</f>
        <v>5.2148773702046653E-9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71</v>
      </c>
      <c r="R8" s="36" t="s">
        <v>96</v>
      </c>
      <c r="S8" s="35" t="s">
        <v>95</v>
      </c>
    </row>
    <row r="9" spans="2:32" ht="15.75" thickBot="1" x14ac:dyDescent="0.3">
      <c r="B9" s="20" t="s">
        <v>69</v>
      </c>
      <c r="C9" s="44">
        <f>'10 mA'!B86*10^9</f>
        <v>6.4100999999999999</v>
      </c>
      <c r="D9" s="44">
        <f>'10 mA'!C86*10^9</f>
        <v>15.483000000000001</v>
      </c>
      <c r="E9" s="44">
        <f>'10 mA'!D86*10^9</f>
        <v>24.292000000000002</v>
      </c>
      <c r="F9" s="44">
        <f>'10 mA'!E86*10^9</f>
        <v>18.516999999999999</v>
      </c>
      <c r="G9" s="44">
        <f>'10 mA'!F86*10^9</f>
        <v>17.818000000000001</v>
      </c>
      <c r="H9" s="44">
        <f>'10 mA'!G86*10^9</f>
        <v>27.952000000000002</v>
      </c>
      <c r="I9" s="44">
        <f>'10 mA'!H86*10^9</f>
        <v>22.262</v>
      </c>
      <c r="J9" s="44">
        <f>'10 mA'!I86*10^9</f>
        <v>18.63</v>
      </c>
      <c r="K9" s="44">
        <f>'10 mA'!J86*10^9</f>
        <v>24.016999999999999</v>
      </c>
      <c r="L9" s="47">
        <f>'10 mA'!K86*10^9</f>
        <v>20.456000000000003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10</v>
      </c>
      <c r="X9" s="5"/>
      <c r="Y9" s="9" t="s">
        <v>88</v>
      </c>
      <c r="Z9" s="32">
        <f>AVERAGE($C8:$L8)</f>
        <v>34.5</v>
      </c>
      <c r="AA9" s="5" t="s">
        <v>89</v>
      </c>
    </row>
    <row r="10" spans="2:32" ht="15.75" thickBot="1" x14ac:dyDescent="0.3">
      <c r="B10" s="20" t="s">
        <v>55</v>
      </c>
      <c r="C10" s="44">
        <f>0.16*C$8+14.15</f>
        <v>14.702</v>
      </c>
      <c r="D10" s="17"/>
      <c r="E10" s="18"/>
      <c r="F10" s="18"/>
      <c r="G10" s="18"/>
      <c r="H10" s="18"/>
      <c r="I10" s="18"/>
      <c r="J10" s="18"/>
      <c r="K10" s="19"/>
      <c r="L10" s="47">
        <f>0.16*L$8+14.15</f>
        <v>24.637999999999998</v>
      </c>
      <c r="M10" t="s">
        <v>107</v>
      </c>
      <c r="O10" s="22">
        <f>IF($S$8="Max-Min",MAX($C$9:$L$9)-MIN($C$9:$L$9),$L10-$C10)/10^9</f>
        <v>2.1541900000000003E-8</v>
      </c>
      <c r="P10" s="22">
        <f>ABS(O10)/SQRT($P$13)</f>
        <v>6.2186108819280005E-9</v>
      </c>
      <c r="Q10" s="25">
        <f>ROUNDDOWN(TINV(1-0.95,COUNTA($C$9:$L$9)-1),2)</f>
        <v>2.2599999999999998</v>
      </c>
      <c r="R10" s="22">
        <f>Q10*P10</f>
        <v>1.405406059315728E-8</v>
      </c>
      <c r="T10" s="22">
        <f>SQRT(SUMSQ($R10,$W12))</f>
        <v>1.405406059315728E-8</v>
      </c>
      <c r="V10" s="30" t="s">
        <v>90</v>
      </c>
      <c r="W10" s="5">
        <f>ROUND(_xlfn.T.INV((1+0.95)/2,($W9-2)),2)</f>
        <v>2.31</v>
      </c>
      <c r="X10" s="5"/>
      <c r="Y10" s="5" t="s">
        <v>87</v>
      </c>
      <c r="Z10" s="32">
        <f>SQRT(DEVSQ($C8:$L8))</f>
        <v>62.672362329818071</v>
      </c>
      <c r="AA10" s="5"/>
      <c r="AF10">
        <v>3</v>
      </c>
    </row>
    <row r="11" spans="2:32" ht="15.75" thickBot="1" x14ac:dyDescent="0.3">
      <c r="B11" s="21" t="s">
        <v>82</v>
      </c>
      <c r="C11" s="44">
        <f>0.16*C$8+14.15</f>
        <v>14.702</v>
      </c>
      <c r="D11" s="17"/>
      <c r="E11" s="18"/>
      <c r="F11" s="18"/>
      <c r="G11" s="18"/>
      <c r="H11" s="18"/>
      <c r="I11" s="18"/>
      <c r="J11" s="18"/>
      <c r="K11" s="19"/>
      <c r="L11" s="47">
        <f>0.16*(C$8+60)+14.15</f>
        <v>24.302</v>
      </c>
      <c r="M11" t="s">
        <v>107</v>
      </c>
      <c r="O11" s="22">
        <f>IF($S$8="Max-Min",MAX($C$9:$L$9)-MIN($C$9:$L$9),$L11-$C11)/10^9</f>
        <v>2.1541900000000003E-8</v>
      </c>
      <c r="P11" s="22">
        <f>ABS(O11)/SQRT($P$13)</f>
        <v>6.2186108819280005E-9</v>
      </c>
      <c r="Q11" s="25">
        <f>ROUNDDOWN(TINV(1-0.95,COUNTA($C$9:$L$9)-1),2)</f>
        <v>2.2599999999999998</v>
      </c>
      <c r="R11" s="22">
        <f>Q11*P11</f>
        <v>1.405406059315728E-8</v>
      </c>
      <c r="V11" s="30" t="s">
        <v>84</v>
      </c>
      <c r="W11" s="6">
        <f>STEYX($C9:$L9,$C8:$L8)/10^9</f>
        <v>5.2200029638967566E-9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37" spans="2:26" x14ac:dyDescent="0.25">
      <c r="E37" s="30" t="s">
        <v>99</v>
      </c>
      <c r="F37" s="12">
        <f>PEARSON(C3:L3,C2:L2)</f>
        <v>-5.6960443861734711E-2</v>
      </c>
      <c r="P37" s="30" t="s">
        <v>99</v>
      </c>
      <c r="Q37" s="12">
        <f>PEARSON(C9:L9,C8:L8)</f>
        <v>0.555567741036328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101</v>
      </c>
      <c r="C40" s="5">
        <v>10</v>
      </c>
      <c r="O40" t="s">
        <v>101</v>
      </c>
      <c r="P40" s="5">
        <v>10</v>
      </c>
      <c r="Q40" s="5"/>
      <c r="R40" s="5"/>
      <c r="S40" s="5"/>
      <c r="T40" s="5"/>
      <c r="U40" s="5"/>
      <c r="V40" s="5"/>
      <c r="W40" s="5"/>
      <c r="X40" s="5"/>
      <c r="Y40" s="5"/>
    </row>
    <row r="41" spans="2:26" x14ac:dyDescent="0.25">
      <c r="B41" t="s">
        <v>102</v>
      </c>
      <c r="C41" s="45">
        <f>ABS(_xlfn.NORM.S.INV(1/(4*C40)))</f>
        <v>1.9599639845400538</v>
      </c>
      <c r="O41" t="s">
        <v>102</v>
      </c>
      <c r="P41" s="45">
        <f>ABS(_xlfn.NORM.S.INV(1/(4*P40)))</f>
        <v>1.9599639845400538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2:26" x14ac:dyDescent="0.25">
      <c r="B42" t="s">
        <v>105</v>
      </c>
      <c r="C42" s="5">
        <v>3.45</v>
      </c>
      <c r="D42" s="5">
        <v>10.350000000000001</v>
      </c>
      <c r="E42" s="5">
        <v>17.25</v>
      </c>
      <c r="F42" s="5">
        <v>24.15</v>
      </c>
      <c r="G42" s="5">
        <v>31.049999999999997</v>
      </c>
      <c r="H42" s="5">
        <v>37.949999999999996</v>
      </c>
      <c r="I42" s="5">
        <v>44.849999999999994</v>
      </c>
      <c r="J42" s="5">
        <v>51.749999999999993</v>
      </c>
      <c r="K42" s="5">
        <v>58.649999999999991</v>
      </c>
      <c r="L42" s="5">
        <v>65.55</v>
      </c>
      <c r="O42" t="s">
        <v>105</v>
      </c>
      <c r="P42" s="5">
        <v>3.45</v>
      </c>
      <c r="Q42" s="5">
        <v>10.350000000000001</v>
      </c>
      <c r="R42" s="5">
        <v>17.25</v>
      </c>
      <c r="S42" s="5">
        <v>24.15</v>
      </c>
      <c r="T42" s="5">
        <v>31.049999999999997</v>
      </c>
      <c r="U42" s="5">
        <v>37.949999999999996</v>
      </c>
      <c r="V42" s="5">
        <v>44.849999999999994</v>
      </c>
      <c r="W42" s="5">
        <v>51.749999999999993</v>
      </c>
      <c r="X42" s="5">
        <v>58.649999999999991</v>
      </c>
      <c r="Y42" s="5">
        <v>65.55</v>
      </c>
    </row>
    <row r="43" spans="2:26" x14ac:dyDescent="0.25">
      <c r="B43" t="str">
        <f>B3</f>
        <v>Desvio de Allan (I_1 = 10 mA, tau = 20 s)</v>
      </c>
      <c r="C43" s="12">
        <f>C3</f>
        <v>9.5328999999999997</v>
      </c>
      <c r="D43" s="12">
        <f t="shared" ref="D43:L43" si="2">D3</f>
        <v>12.513</v>
      </c>
      <c r="E43" s="12">
        <f t="shared" si="2"/>
        <v>22.236999999999998</v>
      </c>
      <c r="F43" s="12">
        <f t="shared" si="2"/>
        <v>11.891</v>
      </c>
      <c r="G43" s="12">
        <f t="shared" si="2"/>
        <v>15.703999999999999</v>
      </c>
      <c r="H43" s="12">
        <f t="shared" si="2"/>
        <v>23.483000000000001</v>
      </c>
      <c r="I43" s="12">
        <f t="shared" si="2"/>
        <v>10.732999999999999</v>
      </c>
      <c r="J43" s="12">
        <f t="shared" si="2"/>
        <v>10.78</v>
      </c>
      <c r="K43" s="12">
        <f t="shared" si="2"/>
        <v>15.816000000000001</v>
      </c>
      <c r="L43" s="12">
        <f t="shared" si="2"/>
        <v>11.151999999999999</v>
      </c>
      <c r="M43" t="s">
        <v>107</v>
      </c>
      <c r="O43" t="str">
        <f>B9</f>
        <v>Desvio de Allan (I_1 = 10 mA, tau = 99 s)</v>
      </c>
      <c r="P43" s="12">
        <f>C9</f>
        <v>6.4100999999999999</v>
      </c>
      <c r="Q43" s="12">
        <f t="shared" ref="Q43:Y43" si="3">D9</f>
        <v>15.483000000000001</v>
      </c>
      <c r="R43" s="12">
        <f t="shared" si="3"/>
        <v>24.292000000000002</v>
      </c>
      <c r="S43" s="12">
        <f t="shared" si="3"/>
        <v>18.516999999999999</v>
      </c>
      <c r="T43" s="12">
        <f t="shared" si="3"/>
        <v>17.818000000000001</v>
      </c>
      <c r="U43" s="12">
        <f t="shared" si="3"/>
        <v>27.952000000000002</v>
      </c>
      <c r="V43" s="12">
        <f t="shared" si="3"/>
        <v>22.262</v>
      </c>
      <c r="W43" s="12">
        <f t="shared" si="3"/>
        <v>18.63</v>
      </c>
      <c r="X43" s="12">
        <f t="shared" si="3"/>
        <v>24.016999999999999</v>
      </c>
      <c r="Y43" s="12">
        <f t="shared" si="3"/>
        <v>20.456000000000003</v>
      </c>
      <c r="Z43" t="s">
        <v>107</v>
      </c>
    </row>
    <row r="44" spans="2:26" x14ac:dyDescent="0.25">
      <c r="B44" t="s">
        <v>100</v>
      </c>
      <c r="C44" s="45">
        <f>ABS((C43-(AVERAGE($C$3:$L$3)))/(STDEVA($C$3:$L$3)))</f>
        <v>0.98510771344963333</v>
      </c>
      <c r="D44" s="45">
        <f t="shared" ref="D44:L44" si="4">ABS((D43-(AVERAGE($C$3:$L$3)))/(STDEVA($C$3:$L$3)))</f>
        <v>0.37996567971195672</v>
      </c>
      <c r="E44" s="45">
        <f t="shared" si="4"/>
        <v>1.5945993134309466</v>
      </c>
      <c r="F44" s="45">
        <f t="shared" si="4"/>
        <v>0.50626961078300625</v>
      </c>
      <c r="G44" s="45">
        <f t="shared" si="4"/>
        <v>0.2680019152200675</v>
      </c>
      <c r="H44" s="45">
        <f t="shared" si="4"/>
        <v>1.8476132975379047</v>
      </c>
      <c r="I44" s="45">
        <f t="shared" si="4"/>
        <v>0.74141422843618243</v>
      </c>
      <c r="J44" s="45">
        <f t="shared" si="4"/>
        <v>0.7318703622620033</v>
      </c>
      <c r="K44" s="45">
        <f t="shared" si="4"/>
        <v>0.29074474525215399</v>
      </c>
      <c r="L44" s="45">
        <f t="shared" si="4"/>
        <v>0.65633167679828874</v>
      </c>
      <c r="O44" t="s">
        <v>100</v>
      </c>
      <c r="P44" s="45">
        <f>ABS((P43-(AVERAGE($C$9:$L$9)))/(STDEVA($C$9:$L$9)))</f>
        <v>2.2256535661398202</v>
      </c>
      <c r="Q44" s="45">
        <f t="shared" ref="Q44:Y44" si="5">ABS((Q43-(AVERAGE($C$9:$L$9)))/(STDEVA($C$9:$L$9)))</f>
        <v>0.69280628735822813</v>
      </c>
      <c r="R44" s="45">
        <f t="shared" si="5"/>
        <v>0.79545564419475356</v>
      </c>
      <c r="S44" s="45">
        <f t="shared" si="5"/>
        <v>0.18021839993266964</v>
      </c>
      <c r="T44" s="45">
        <f t="shared" si="5"/>
        <v>0.29831297254653399</v>
      </c>
      <c r="U44" s="45">
        <f t="shared" si="5"/>
        <v>1.4138049085248605</v>
      </c>
      <c r="V44" s="45">
        <f t="shared" si="5"/>
        <v>0.45249143474390174</v>
      </c>
      <c r="W44" s="45">
        <f t="shared" si="5"/>
        <v>0.16112728876619375</v>
      </c>
      <c r="X44" s="45">
        <f t="shared" si="5"/>
        <v>0.74899497542678073</v>
      </c>
      <c r="Y44" s="45">
        <f t="shared" si="5"/>
        <v>0.14737155185314446</v>
      </c>
    </row>
    <row r="45" spans="2:26" x14ac:dyDescent="0.25">
      <c r="B45" s="42" t="s">
        <v>103</v>
      </c>
      <c r="C45" s="43" t="str">
        <f>IF(C44&gt;$C$41,"outlier","")</f>
        <v/>
      </c>
      <c r="D45" s="43" t="str">
        <f t="shared" ref="D45:L45" si="6">IF(D44&gt;$C$41,"outlier","")</f>
        <v/>
      </c>
      <c r="E45" s="43" t="str">
        <f t="shared" si="6"/>
        <v/>
      </c>
      <c r="F45" s="43" t="str">
        <f t="shared" si="6"/>
        <v/>
      </c>
      <c r="G45" s="43" t="str">
        <f t="shared" si="6"/>
        <v/>
      </c>
      <c r="H45" s="43" t="str">
        <f t="shared" si="6"/>
        <v/>
      </c>
      <c r="I45" s="43" t="str">
        <f t="shared" si="6"/>
        <v/>
      </c>
      <c r="J45" s="43" t="str">
        <f t="shared" si="6"/>
        <v/>
      </c>
      <c r="K45" s="43" t="str">
        <f t="shared" si="6"/>
        <v/>
      </c>
      <c r="L45" s="43" t="str">
        <f t="shared" si="6"/>
        <v/>
      </c>
      <c r="O45" s="42" t="s">
        <v>103</v>
      </c>
      <c r="P45" s="43" t="str">
        <f>IF(P44&gt;$P$41,"outlier","")</f>
        <v>outlier</v>
      </c>
      <c r="Q45" s="43" t="str">
        <f t="shared" ref="Q45:Y45" si="7">IF(Q44&gt;$P$41,"outlier","")</f>
        <v/>
      </c>
      <c r="R45" s="43" t="str">
        <f t="shared" si="7"/>
        <v/>
      </c>
      <c r="S45" s="43" t="str">
        <f t="shared" si="7"/>
        <v/>
      </c>
      <c r="T45" s="43" t="str">
        <f t="shared" si="7"/>
        <v/>
      </c>
      <c r="U45" s="43" t="str">
        <f t="shared" si="7"/>
        <v/>
      </c>
      <c r="V45" s="43" t="str">
        <f t="shared" si="7"/>
        <v/>
      </c>
      <c r="W45" s="43" t="str">
        <f t="shared" si="7"/>
        <v/>
      </c>
      <c r="X45" s="43" t="str">
        <f t="shared" si="7"/>
        <v/>
      </c>
      <c r="Y45" s="43" t="str">
        <f t="shared" si="7"/>
        <v/>
      </c>
    </row>
    <row r="47" spans="2:26" x14ac:dyDescent="0.25">
      <c r="B47" s="41" t="s">
        <v>108</v>
      </c>
      <c r="O47" s="41" t="s">
        <v>108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2:26" x14ac:dyDescent="0.25">
      <c r="B48" t="s">
        <v>109</v>
      </c>
      <c r="C48" s="48">
        <v>0.05</v>
      </c>
      <c r="O48" t="s">
        <v>109</v>
      </c>
      <c r="P48" s="48">
        <v>0.05</v>
      </c>
      <c r="Q48" s="5"/>
      <c r="R48" s="5"/>
      <c r="S48" s="5"/>
      <c r="T48" s="5"/>
      <c r="U48" s="5"/>
      <c r="V48" s="5"/>
      <c r="W48" s="5"/>
      <c r="X48" s="5"/>
      <c r="Y48" s="5"/>
    </row>
    <row r="49" spans="2:25" x14ac:dyDescent="0.25">
      <c r="B49" t="s">
        <v>102</v>
      </c>
      <c r="C49" s="45">
        <f>_xlfn.CHISQ.INV(1-C48, 1)</f>
        <v>3.8414588206941236</v>
      </c>
      <c r="O49" t="s">
        <v>102</v>
      </c>
      <c r="P49" s="45">
        <f>_xlfn.CHISQ.INV(1-P48, 1)</f>
        <v>3.8414588206941236</v>
      </c>
      <c r="Q49" s="5"/>
      <c r="R49" s="5"/>
      <c r="S49" s="5"/>
      <c r="T49" s="5"/>
      <c r="U49" s="5"/>
      <c r="V49" s="5"/>
      <c r="W49" s="5"/>
      <c r="X49" s="5"/>
      <c r="Y49" s="5"/>
    </row>
    <row r="50" spans="2:25" x14ac:dyDescent="0.25">
      <c r="B50" t="s">
        <v>100</v>
      </c>
      <c r="C50" s="12">
        <f t="shared" ref="C50:L50" si="8">((C43-AVERAGE($C$3:$L$3))^2)/((STDEVA($C$3:$L$3))^2)</f>
        <v>0.97043720709796488</v>
      </c>
      <c r="D50" s="12">
        <f t="shared" si="8"/>
        <v>0.14437391775896924</v>
      </c>
      <c r="E50" s="12">
        <f t="shared" si="8"/>
        <v>2.5427469703944459</v>
      </c>
      <c r="F50" s="12">
        <f t="shared" si="8"/>
        <v>0.25630891880237661</v>
      </c>
      <c r="G50" s="12">
        <f t="shared" si="8"/>
        <v>7.1825026561624233E-2</v>
      </c>
      <c r="H50" s="12">
        <f t="shared" si="8"/>
        <v>3.4136748972388902</v>
      </c>
      <c r="I50" s="12">
        <f t="shared" si="8"/>
        <v>0.54969505812761965</v>
      </c>
      <c r="J50" s="12">
        <f t="shared" si="8"/>
        <v>0.53563422715751585</v>
      </c>
      <c r="K50" s="12">
        <f t="shared" si="8"/>
        <v>8.4532506891739911E-2</v>
      </c>
      <c r="L50" s="12">
        <f t="shared" si="8"/>
        <v>0.43077126996885334</v>
      </c>
      <c r="O50" t="s">
        <v>100</v>
      </c>
      <c r="P50" s="12">
        <f>((P43-AVERAGE($C$9:$L$9))^2)/((STDEVA($C$9:$L$9))^2)</f>
        <v>4.9535337964709001</v>
      </c>
      <c r="Q50" s="12">
        <f>((Q43-AVERAGE($C$9:$L$9))^2)/((STDEVA($C$9:$L$9))^2)</f>
        <v>0.47998055180309168</v>
      </c>
      <c r="R50" s="12">
        <f t="shared" ref="R50:Y50" si="9">((R43-AVERAGE($C$9:$L$9))^2)/((STDEVA($C$9:$L$9))^2)</f>
        <v>0.63274968188129055</v>
      </c>
      <c r="S50" s="12">
        <f t="shared" si="9"/>
        <v>3.2478671674291665E-2</v>
      </c>
      <c r="T50" s="12">
        <f t="shared" si="9"/>
        <v>8.8990629589549161E-2</v>
      </c>
      <c r="U50" s="12">
        <f t="shared" si="9"/>
        <v>1.9988443193689898</v>
      </c>
      <c r="V50" s="12">
        <f t="shared" si="9"/>
        <v>0.20474849851659468</v>
      </c>
      <c r="W50" s="12">
        <f t="shared" si="9"/>
        <v>2.5962003185144387E-2</v>
      </c>
      <c r="X50" s="12">
        <f t="shared" si="9"/>
        <v>0.56099347321456394</v>
      </c>
      <c r="Y50" s="12">
        <f t="shared" si="9"/>
        <v>2.171837429560405E-2</v>
      </c>
    </row>
    <row r="51" spans="2:25" x14ac:dyDescent="0.25">
      <c r="B51" t="s">
        <v>103</v>
      </c>
      <c r="C51" s="43" t="str">
        <f>IF(C50&gt;$C$49,"outlier","")</f>
        <v/>
      </c>
      <c r="D51" s="43" t="str">
        <f t="shared" ref="D51:L51" si="10">IF(D50&gt;$C$49,"outlier","")</f>
        <v/>
      </c>
      <c r="E51" s="43" t="str">
        <f t="shared" si="10"/>
        <v/>
      </c>
      <c r="F51" s="43" t="str">
        <f t="shared" si="10"/>
        <v/>
      </c>
      <c r="G51" s="43" t="str">
        <f t="shared" si="10"/>
        <v/>
      </c>
      <c r="H51" s="43" t="str">
        <f t="shared" si="10"/>
        <v/>
      </c>
      <c r="I51" s="43" t="str">
        <f t="shared" si="10"/>
        <v/>
      </c>
      <c r="J51" s="43" t="str">
        <f t="shared" si="10"/>
        <v/>
      </c>
      <c r="K51" s="43" t="str">
        <f t="shared" si="10"/>
        <v/>
      </c>
      <c r="L51" s="43" t="str">
        <f t="shared" si="10"/>
        <v/>
      </c>
      <c r="O51" t="s">
        <v>103</v>
      </c>
      <c r="P51" s="43" t="str">
        <f>IF(P50&gt;$P$49,"outlier","")</f>
        <v>outlier</v>
      </c>
      <c r="Q51" s="43" t="str">
        <f t="shared" ref="Q51:Y51" si="11">IF(Q50&gt;$P$49,"outlier","")</f>
        <v/>
      </c>
      <c r="R51" s="43" t="str">
        <f t="shared" si="11"/>
        <v/>
      </c>
      <c r="S51" s="43" t="str">
        <f t="shared" si="11"/>
        <v/>
      </c>
      <c r="T51" s="43" t="str">
        <f t="shared" si="11"/>
        <v/>
      </c>
      <c r="U51" s="43" t="str">
        <f t="shared" si="11"/>
        <v/>
      </c>
      <c r="V51" s="43" t="str">
        <f t="shared" si="11"/>
        <v/>
      </c>
      <c r="W51" s="43" t="str">
        <f t="shared" si="11"/>
        <v/>
      </c>
      <c r="X51" s="43" t="str">
        <f t="shared" si="11"/>
        <v/>
      </c>
      <c r="Y51" s="43" t="str">
        <f t="shared" si="11"/>
        <v/>
      </c>
    </row>
    <row r="52" spans="2:25" x14ac:dyDescent="0.25">
      <c r="B52" t="s">
        <v>110</v>
      </c>
      <c r="C52" s="12">
        <f>1-_xlfn.CHISQ.DIST(C50, 1, TRUE)</f>
        <v>0.32457116492147731</v>
      </c>
      <c r="D52" s="12">
        <f t="shared" ref="D52:L52" si="12">1-_xlfn.CHISQ.DIST(D50, 1, TRUE)</f>
        <v>0.70397089153389292</v>
      </c>
      <c r="E52" s="12">
        <f t="shared" si="12"/>
        <v>0.11080186624199984</v>
      </c>
      <c r="F52" s="12">
        <f t="shared" si="12"/>
        <v>0.61266739343815912</v>
      </c>
      <c r="G52" s="12">
        <f t="shared" si="12"/>
        <v>0.78869784451356151</v>
      </c>
      <c r="H52" s="12">
        <f t="shared" si="12"/>
        <v>6.465830464585165E-2</v>
      </c>
      <c r="I52" s="12">
        <f t="shared" si="12"/>
        <v>0.45844231997974794</v>
      </c>
      <c r="J52" s="12">
        <f t="shared" si="12"/>
        <v>0.46424769745338867</v>
      </c>
      <c r="K52" s="12">
        <f t="shared" si="12"/>
        <v>0.77124654735610876</v>
      </c>
      <c r="L52" s="12">
        <f t="shared" si="12"/>
        <v>0.51161074033122489</v>
      </c>
      <c r="O52" t="s">
        <v>110</v>
      </c>
      <c r="P52" s="12">
        <f>1-_xlfn.CHISQ.DIST(P50, 1, TRUE)</f>
        <v>2.6037395246271355E-2</v>
      </c>
      <c r="Q52" s="12">
        <f t="shared" ref="Q52:Y52" si="13">1-_xlfn.CHISQ.DIST(Q50, 1, TRUE)</f>
        <v>0.48843112598801186</v>
      </c>
      <c r="R52" s="12">
        <f t="shared" si="13"/>
        <v>0.42634850283955006</v>
      </c>
      <c r="S52" s="12">
        <f t="shared" si="13"/>
        <v>0.8569811138707204</v>
      </c>
      <c r="T52" s="12">
        <f t="shared" si="13"/>
        <v>0.76546430413257616</v>
      </c>
      <c r="U52" s="12">
        <f t="shared" si="13"/>
        <v>0.15741919196884357</v>
      </c>
      <c r="V52" s="12">
        <f t="shared" si="13"/>
        <v>0.65091499030173461</v>
      </c>
      <c r="W52" s="12">
        <f t="shared" si="13"/>
        <v>0.87199314772486392</v>
      </c>
      <c r="X52" s="12">
        <f t="shared" si="13"/>
        <v>0.45386023387597862</v>
      </c>
      <c r="Y52" s="12">
        <f t="shared" si="13"/>
        <v>0.88283875866056949</v>
      </c>
    </row>
    <row r="54" spans="2:25" x14ac:dyDescent="0.25">
      <c r="B54" s="41" t="s">
        <v>117</v>
      </c>
      <c r="C54"/>
      <c r="D54"/>
      <c r="E54"/>
      <c r="F54"/>
      <c r="G54"/>
      <c r="H54"/>
      <c r="I54"/>
      <c r="J54"/>
      <c r="K54"/>
      <c r="O54" s="41" t="s">
        <v>117</v>
      </c>
    </row>
    <row r="55" spans="2:25" x14ac:dyDescent="0.25">
      <c r="B55" t="s">
        <v>128</v>
      </c>
      <c r="C55"/>
      <c r="D55"/>
      <c r="E55"/>
      <c r="F55" t="s">
        <v>130</v>
      </c>
      <c r="G55"/>
      <c r="H55"/>
      <c r="I55"/>
      <c r="J55"/>
      <c r="K55"/>
      <c r="O55" t="s">
        <v>134</v>
      </c>
      <c r="S55" t="s">
        <v>133</v>
      </c>
    </row>
    <row r="56" spans="2:25" x14ac:dyDescent="0.25">
      <c r="B56" t="s">
        <v>129</v>
      </c>
      <c r="C56"/>
      <c r="D56"/>
      <c r="E56"/>
      <c r="F56" t="s">
        <v>131</v>
      </c>
      <c r="G56"/>
      <c r="H56"/>
      <c r="I56"/>
      <c r="J56"/>
      <c r="K56"/>
      <c r="O56" t="s">
        <v>135</v>
      </c>
      <c r="S56" t="s">
        <v>132</v>
      </c>
    </row>
    <row r="58" spans="2:25" x14ac:dyDescent="0.25">
      <c r="B58" s="41" t="s">
        <v>152</v>
      </c>
      <c r="O58" s="41" t="s">
        <v>152</v>
      </c>
    </row>
    <row r="59" spans="2:25" x14ac:dyDescent="0.25">
      <c r="B59" t="s">
        <v>157</v>
      </c>
      <c r="O59" t="s">
        <v>158</v>
      </c>
    </row>
    <row r="60" spans="2:25" x14ac:dyDescent="0.25">
      <c r="E60" s="54" t="s">
        <v>172</v>
      </c>
    </row>
    <row r="61" spans="2:25" x14ac:dyDescent="0.25">
      <c r="B61" s="41" t="s">
        <v>164</v>
      </c>
      <c r="C61" s="53" t="s">
        <v>168</v>
      </c>
      <c r="D61" s="52"/>
      <c r="E61" s="5" t="s">
        <v>169</v>
      </c>
    </row>
    <row r="62" spans="2:25" x14ac:dyDescent="0.25">
      <c r="C62" s="50" t="s">
        <v>167</v>
      </c>
      <c r="D62" s="52"/>
      <c r="E62" s="5" t="s">
        <v>170</v>
      </c>
    </row>
    <row r="63" spans="2:25" x14ac:dyDescent="0.25">
      <c r="C63" s="50" t="s">
        <v>173</v>
      </c>
      <c r="E63" s="5" t="s">
        <v>171</v>
      </c>
    </row>
  </sheetData>
  <conditionalFormatting sqref="C52:L52">
    <cfRule type="expression" dxfId="5" priority="2">
      <formula>C52&lt;0.05</formula>
    </cfRule>
  </conditionalFormatting>
  <conditionalFormatting sqref="P52:Y52">
    <cfRule type="expression" dxfId="4" priority="1">
      <formula>P52&lt;0.05</formula>
    </cfRule>
  </conditionalFormatting>
  <dataValidations disablePrompts="1" count="3">
    <dataValidation type="list" allowBlank="1" showInputMessage="1" showErrorMessage="1" sqref="AB6:AE6 AB12">
      <formula1>$AF$2:$AF$3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S2 S8">
      <formula1>$AF$5:$AF$6</formula1>
    </dataValidation>
  </dataValidations>
  <pageMargins left="0.7" right="0.7" top="0.75" bottom="0.75" header="0.3" footer="0.3"/>
  <pageSetup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9"/>
  <sheetViews>
    <sheetView zoomScale="70" zoomScaleNormal="70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>
        <f t="shared" si="0"/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75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73</v>
      </c>
      <c r="C3" s="44">
        <f>'1 mA'!B21*10^9</f>
        <v>1.2994000000000001</v>
      </c>
      <c r="D3" s="44">
        <f>'1 mA'!C21*10^9</f>
        <v>1.5152000000000001</v>
      </c>
      <c r="E3" s="44">
        <f>'1 mA'!D21*10^9</f>
        <v>1.3506</v>
      </c>
      <c r="F3" s="44">
        <f>'1 mA'!E21*10^9</f>
        <v>1.3574000000000002</v>
      </c>
      <c r="G3" s="44">
        <f>'1 mA'!F21*10^9</f>
        <v>1.4645000000000001</v>
      </c>
      <c r="H3" s="44">
        <f>'1 mA'!G21*10^9</f>
        <v>1.8406</v>
      </c>
      <c r="I3" s="44">
        <f>'1 mA'!H21*10^9</f>
        <v>2.7906</v>
      </c>
      <c r="J3" s="44">
        <f>'1 mA'!I21*10^9</f>
        <v>1.8714</v>
      </c>
      <c r="K3" s="44">
        <f>'1 mA'!J21*10^9</f>
        <v>2.1614</v>
      </c>
      <c r="L3" s="47">
        <f>'1 mA'!K21*10^9</f>
        <v>2.1203999999999996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10</v>
      </c>
      <c r="X3" s="5"/>
      <c r="Y3" s="9" t="s">
        <v>88</v>
      </c>
      <c r="Z3" s="32">
        <f>AVERAGE($C2:$L2)</f>
        <v>34.5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4">
        <f>0.017*C$2+1.196</f>
        <v>1.25465</v>
      </c>
      <c r="D4" s="17"/>
      <c r="E4" s="18"/>
      <c r="F4" s="18"/>
      <c r="G4" s="18"/>
      <c r="H4" s="18"/>
      <c r="I4" s="18"/>
      <c r="J4" s="18"/>
      <c r="K4" s="19"/>
      <c r="L4" s="47">
        <f>0.017*L$2+1.196</f>
        <v>2.3103499999999997</v>
      </c>
      <c r="M4" t="s">
        <v>107</v>
      </c>
      <c r="O4" s="22">
        <f>IF($S$2="Max-Min",MAX($C$3:$L$3)-MIN($C$3:$L$3),$L4-$C4)/10^9</f>
        <v>1.4911999999999998E-9</v>
      </c>
      <c r="P4" s="22">
        <f>ABS(O4)/SQRT($P$13)</f>
        <v>4.3047236070778493E-10</v>
      </c>
      <c r="Q4" s="25">
        <f>ROUNDDOWN(TINV(1-0.95,COUNTA($C$3:$L$3)-1),2)</f>
        <v>2.2599999999999998</v>
      </c>
      <c r="R4" s="22">
        <f>Q4*P4</f>
        <v>9.7286753519959377E-10</v>
      </c>
      <c r="T4" s="22">
        <f>SQRT(SUMSQ($R4,$W6))</f>
        <v>9.7286753519959377E-10</v>
      </c>
      <c r="V4" s="30" t="s">
        <v>90</v>
      </c>
      <c r="W4" s="5">
        <f>ROUND(_xlfn.T.INV((1+0.95)/2,($W3-2)),2)</f>
        <v>2.31</v>
      </c>
      <c r="X4" s="5"/>
      <c r="Y4" s="5" t="s">
        <v>87</v>
      </c>
      <c r="Z4" s="32">
        <f>SQRT(DEVSQ($C2:$L2))</f>
        <v>62.672362329818071</v>
      </c>
      <c r="AA4" s="5"/>
    </row>
    <row r="5" spans="2:32" ht="15.75" thickBot="1" x14ac:dyDescent="0.3">
      <c r="B5" s="21" t="s">
        <v>82</v>
      </c>
      <c r="C5" s="44">
        <f>0.017*C$2+1.196</f>
        <v>1.25465</v>
      </c>
      <c r="D5" s="17"/>
      <c r="E5" s="18"/>
      <c r="F5" s="18"/>
      <c r="G5" s="18"/>
      <c r="H5" s="18"/>
      <c r="I5" s="18"/>
      <c r="J5" s="18"/>
      <c r="K5" s="19"/>
      <c r="L5" s="47">
        <f>0.017*(60+$C2)+1.196</f>
        <v>2.2746500000000003</v>
      </c>
      <c r="M5" t="s">
        <v>107</v>
      </c>
      <c r="O5" s="22">
        <f>IF($S$2="Max-Min",MAX($C$3:$L$3)-MIN($C$3:$L$3),$L5-$C5)/10^9</f>
        <v>1.4911999999999998E-9</v>
      </c>
      <c r="P5" s="22">
        <f>ABS(O5)/SQRT($P$13)</f>
        <v>4.3047236070778493E-10</v>
      </c>
      <c r="Q5" s="25">
        <f>ROUNDDOWN(TINV(1-0.95,COUNTA($C$3:$L$3)-1),2)</f>
        <v>2.2599999999999998</v>
      </c>
      <c r="R5" s="22">
        <f>Q5*P5</f>
        <v>9.7286753519959377E-10</v>
      </c>
      <c r="T5" s="11"/>
      <c r="V5" s="30" t="s">
        <v>84</v>
      </c>
      <c r="W5" s="6">
        <f>STEYX($C3:$L3,$C2:$L2)/10^9</f>
        <v>3.4315348597878763E-10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76</v>
      </c>
      <c r="R8" s="36" t="s">
        <v>96</v>
      </c>
      <c r="S8" s="35" t="s">
        <v>95</v>
      </c>
    </row>
    <row r="9" spans="2:32" ht="15.75" thickBot="1" x14ac:dyDescent="0.3">
      <c r="B9" s="20" t="s">
        <v>74</v>
      </c>
      <c r="C9" s="44">
        <f>'1 mA'!B86*10^9</f>
        <v>0.80539000000000005</v>
      </c>
      <c r="D9" s="44">
        <f>'1 mA'!C86*10^9</f>
        <v>0.62700999999999996</v>
      </c>
      <c r="E9" s="44">
        <f>'1 mA'!D86*10^9</f>
        <v>0.62780000000000002</v>
      </c>
      <c r="F9" s="44">
        <f>'1 mA'!E86*10^9</f>
        <v>0.84714</v>
      </c>
      <c r="G9" s="44">
        <f>'1 mA'!F86*10^9</f>
        <v>0.48719000000000007</v>
      </c>
      <c r="H9" s="44">
        <f>'1 mA'!G86*10^9</f>
        <v>1.1437000000000002</v>
      </c>
      <c r="I9" s="44">
        <f>'1 mA'!H86*10^9</f>
        <v>0.72580999999999996</v>
      </c>
      <c r="J9" s="44">
        <f>'1 mA'!I86*10^9</f>
        <v>1.0609</v>
      </c>
      <c r="K9" s="44">
        <f>'1 mA'!J86*10^9</f>
        <v>0.82919999999999994</v>
      </c>
      <c r="L9" s="47">
        <f>'1 mA'!K86*10^9</f>
        <v>1.7516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10</v>
      </c>
      <c r="X9" s="5"/>
      <c r="Y9" s="9" t="s">
        <v>88</v>
      </c>
      <c r="Z9" s="32">
        <f>AVERAGE($C8:$L8)</f>
        <v>34.5</v>
      </c>
      <c r="AA9" s="5" t="s">
        <v>89</v>
      </c>
    </row>
    <row r="10" spans="2:32" ht="15.75" thickBot="1" x14ac:dyDescent="0.3">
      <c r="B10" s="20" t="s">
        <v>55</v>
      </c>
      <c r="C10" s="44">
        <f>0.011*C$8+0.515</f>
        <v>0.55295000000000005</v>
      </c>
      <c r="D10" s="17"/>
      <c r="E10" s="18"/>
      <c r="F10" s="18"/>
      <c r="G10" s="18"/>
      <c r="H10" s="18"/>
      <c r="I10" s="18"/>
      <c r="J10" s="18"/>
      <c r="K10" s="19"/>
      <c r="L10" s="47">
        <f>0.011*L$8+0.515</f>
        <v>1.2360500000000001</v>
      </c>
      <c r="M10" t="s">
        <v>107</v>
      </c>
      <c r="O10" s="22">
        <f>IF($S$8="Max-Min",MAX($C$9:$L$9)-MIN($C$9:$L$9),$L10-$C10)/10^9</f>
        <v>1.26441E-9</v>
      </c>
      <c r="P10" s="22">
        <f>ABS(O10)/SQRT($P$13)</f>
        <v>3.6500372693302739E-10</v>
      </c>
      <c r="Q10" s="25">
        <f>ROUNDDOWN(TINV(1-0.95,COUNTA($C$9:$L$9)-1),2)</f>
        <v>2.2599999999999998</v>
      </c>
      <c r="R10" s="22">
        <f>Q10*P10</f>
        <v>8.2490842286864178E-10</v>
      </c>
      <c r="T10" s="22">
        <f>SQRT(SUMSQ($R10,$W12))</f>
        <v>8.2490842286864178E-10</v>
      </c>
      <c r="V10" s="30" t="s">
        <v>90</v>
      </c>
      <c r="W10" s="5">
        <f>ROUND(_xlfn.T.INV((1+0.95)/2,($W9-2)),2)</f>
        <v>2.31</v>
      </c>
      <c r="X10" s="5"/>
      <c r="Y10" s="5" t="s">
        <v>87</v>
      </c>
      <c r="Z10" s="32">
        <f>SQRT(DEVSQ($C8:$L8))</f>
        <v>62.672362329818071</v>
      </c>
      <c r="AA10" s="5"/>
      <c r="AF10">
        <v>3</v>
      </c>
    </row>
    <row r="11" spans="2:32" ht="15.75" thickBot="1" x14ac:dyDescent="0.3">
      <c r="B11" s="21" t="s">
        <v>82</v>
      </c>
      <c r="C11" s="44">
        <f>0.011*C$8+0.515</f>
        <v>0.55295000000000005</v>
      </c>
      <c r="D11" s="17"/>
      <c r="E11" s="18"/>
      <c r="F11" s="18"/>
      <c r="G11" s="18"/>
      <c r="H11" s="18"/>
      <c r="I11" s="18"/>
      <c r="J11" s="18"/>
      <c r="K11" s="19"/>
      <c r="L11" s="47">
        <f>0.011*(60+C$8)+0.515</f>
        <v>1.21295</v>
      </c>
      <c r="M11" t="s">
        <v>107</v>
      </c>
      <c r="O11" s="22">
        <f>IF($S$8="Max-Min",MAX($C$9:$L$9)-MIN($C$9:$L$9),$L11-$C11)/10^9</f>
        <v>1.26441E-9</v>
      </c>
      <c r="P11" s="22">
        <f>ABS(O11)/SQRT($P$13)</f>
        <v>3.6500372693302739E-10</v>
      </c>
      <c r="Q11" s="25">
        <f>ROUNDDOWN(TINV(1-0.95,COUNTA($C$9:$L$9)-1),2)</f>
        <v>2.2599999999999998</v>
      </c>
      <c r="R11" s="22">
        <f>Q11*P11</f>
        <v>8.2490842286864178E-10</v>
      </c>
      <c r="V11" s="30" t="s">
        <v>84</v>
      </c>
      <c r="W11" s="6">
        <f>STEYX($C9:$L9,$C8:$L8)/10^9</f>
        <v>2.9803732039008648E-10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37" spans="2:26" x14ac:dyDescent="0.25">
      <c r="E37" s="30" t="s">
        <v>99</v>
      </c>
      <c r="F37" s="12">
        <f>PEARSON(C3:L3,C2:L2)</f>
        <v>0.73641236412591882</v>
      </c>
      <c r="P37" s="30" t="s">
        <v>99</v>
      </c>
      <c r="Q37" s="12">
        <f>PEARSON(C9:L9,C8:L8)</f>
        <v>0.62897278125117395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101</v>
      </c>
      <c r="C40" s="5">
        <v>10</v>
      </c>
      <c r="O40" t="s">
        <v>101</v>
      </c>
      <c r="P40" s="5">
        <v>10</v>
      </c>
      <c r="Q40" s="5"/>
      <c r="R40" s="5"/>
      <c r="S40" s="5"/>
      <c r="T40" s="5"/>
      <c r="U40" s="5"/>
      <c r="V40" s="5"/>
      <c r="W40" s="5"/>
      <c r="X40" s="5"/>
      <c r="Y40" s="5"/>
    </row>
    <row r="41" spans="2:26" x14ac:dyDescent="0.25">
      <c r="B41" t="s">
        <v>102</v>
      </c>
      <c r="C41" s="45">
        <f>ABS(_xlfn.NORM.S.INV(1/(4*C40)))</f>
        <v>1.9599639845400538</v>
      </c>
      <c r="O41" t="s">
        <v>102</v>
      </c>
      <c r="P41" s="45">
        <f>ABS(_xlfn.NORM.S.INV(1/(4*P40)))</f>
        <v>1.9599639845400538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2:26" x14ac:dyDescent="0.25">
      <c r="B42" t="s">
        <v>105</v>
      </c>
      <c r="C42" s="5">
        <v>3.45</v>
      </c>
      <c r="D42" s="5">
        <v>10.350000000000001</v>
      </c>
      <c r="E42" s="5">
        <v>17.25</v>
      </c>
      <c r="F42" s="5">
        <v>24.15</v>
      </c>
      <c r="G42" s="5">
        <v>31.049999999999997</v>
      </c>
      <c r="H42" s="5">
        <v>37.949999999999996</v>
      </c>
      <c r="I42" s="5">
        <v>44.849999999999994</v>
      </c>
      <c r="J42" s="5">
        <v>51.749999999999993</v>
      </c>
      <c r="K42" s="5">
        <v>58.649999999999991</v>
      </c>
      <c r="L42" s="5">
        <v>65.55</v>
      </c>
      <c r="O42" t="s">
        <v>105</v>
      </c>
      <c r="P42" s="5">
        <v>3.45</v>
      </c>
      <c r="Q42" s="5">
        <v>10.350000000000001</v>
      </c>
      <c r="R42" s="5">
        <v>17.25</v>
      </c>
      <c r="S42" s="5">
        <v>24.15</v>
      </c>
      <c r="T42" s="5">
        <v>31.049999999999997</v>
      </c>
      <c r="U42" s="5">
        <v>37.949999999999996</v>
      </c>
      <c r="V42" s="5">
        <v>44.849999999999994</v>
      </c>
      <c r="W42" s="5">
        <v>51.749999999999993</v>
      </c>
      <c r="X42" s="5">
        <v>58.649999999999991</v>
      </c>
      <c r="Y42" s="5">
        <v>65.55</v>
      </c>
    </row>
    <row r="43" spans="2:26" x14ac:dyDescent="0.25">
      <c r="B43" t="str">
        <f>B3</f>
        <v>Desvio de Allan (I_1 = 1 mA, tau = 20 s)</v>
      </c>
      <c r="C43" s="12">
        <f>C3</f>
        <v>1.2994000000000001</v>
      </c>
      <c r="D43" s="12">
        <f t="shared" ref="D43:L43" si="2">D3</f>
        <v>1.5152000000000001</v>
      </c>
      <c r="E43" s="12">
        <f t="shared" si="2"/>
        <v>1.3506</v>
      </c>
      <c r="F43" s="12">
        <f t="shared" si="2"/>
        <v>1.3574000000000002</v>
      </c>
      <c r="G43" s="12">
        <f t="shared" si="2"/>
        <v>1.4645000000000001</v>
      </c>
      <c r="H43" s="12">
        <f t="shared" si="2"/>
        <v>1.8406</v>
      </c>
      <c r="I43" s="12">
        <f t="shared" si="2"/>
        <v>2.7906</v>
      </c>
      <c r="J43" s="12">
        <f t="shared" si="2"/>
        <v>1.8714</v>
      </c>
      <c r="K43" s="12">
        <f t="shared" si="2"/>
        <v>2.1614</v>
      </c>
      <c r="L43" s="12">
        <f t="shared" si="2"/>
        <v>2.1203999999999996</v>
      </c>
      <c r="M43" t="s">
        <v>107</v>
      </c>
      <c r="O43" t="str">
        <f>B9</f>
        <v>Desvio de Allan (I_1 = 1 mA, tau = 99 s)</v>
      </c>
      <c r="P43" s="12">
        <f>C9</f>
        <v>0.80539000000000005</v>
      </c>
      <c r="Q43" s="12">
        <f t="shared" ref="Q43:Y43" si="3">D9</f>
        <v>0.62700999999999996</v>
      </c>
      <c r="R43" s="12">
        <f t="shared" si="3"/>
        <v>0.62780000000000002</v>
      </c>
      <c r="S43" s="12">
        <f t="shared" si="3"/>
        <v>0.84714</v>
      </c>
      <c r="T43" s="12">
        <f t="shared" si="3"/>
        <v>0.48719000000000007</v>
      </c>
      <c r="U43" s="12">
        <f t="shared" si="3"/>
        <v>1.1437000000000002</v>
      </c>
      <c r="V43" s="12">
        <f t="shared" si="3"/>
        <v>0.72580999999999996</v>
      </c>
      <c r="W43" s="12">
        <f t="shared" si="3"/>
        <v>1.0609</v>
      </c>
      <c r="X43" s="12">
        <f t="shared" si="3"/>
        <v>0.82919999999999994</v>
      </c>
      <c r="Y43" s="12">
        <f t="shared" si="3"/>
        <v>1.7516</v>
      </c>
      <c r="Z43" t="s">
        <v>107</v>
      </c>
    </row>
    <row r="44" spans="2:26" x14ac:dyDescent="0.25">
      <c r="B44" t="s">
        <v>100</v>
      </c>
      <c r="C44" s="45">
        <f>ABS((C43-(AVERAGE($C$3:$L$3)))/(STDEVA($C$3:$L$3)))</f>
        <v>0.99902761727418721</v>
      </c>
      <c r="D44" s="45">
        <f t="shared" ref="D44:L44" si="4">ABS((D43-(AVERAGE($C$3:$L$3)))/(STDEVA($C$3:$L$3)))</f>
        <v>0.54776616294081271</v>
      </c>
      <c r="E44" s="45">
        <f t="shared" si="4"/>
        <v>0.89196280512465642</v>
      </c>
      <c r="F44" s="45">
        <f t="shared" si="4"/>
        <v>0.87774325976104661</v>
      </c>
      <c r="G44" s="45">
        <f t="shared" si="4"/>
        <v>0.65378542028419584</v>
      </c>
      <c r="H44" s="45">
        <f t="shared" si="4"/>
        <v>0.13268090490015111</v>
      </c>
      <c r="I44" s="45">
        <f t="shared" si="4"/>
        <v>2.1192350365809003</v>
      </c>
      <c r="J44" s="45">
        <f t="shared" si="4"/>
        <v>0.19708708095885319</v>
      </c>
      <c r="K44" s="45">
        <f t="shared" si="4"/>
        <v>0.80350886852455572</v>
      </c>
      <c r="L44" s="45">
        <f t="shared" si="4"/>
        <v>0.71777337442043843</v>
      </c>
      <c r="O44" t="s">
        <v>100</v>
      </c>
      <c r="P44" s="45">
        <f>ABS((P43-(AVERAGE($C$9:$L$9)))/(STDEVA($C$9:$L$9)))</f>
        <v>0.23568038550646686</v>
      </c>
      <c r="Q44" s="45">
        <f t="shared" ref="Q44:Y44" si="5">ABS((Q43-(AVERAGE($C$9:$L$9)))/(STDEVA($C$9:$L$9)))</f>
        <v>0.7292081274139085</v>
      </c>
      <c r="R44" s="45">
        <f t="shared" si="5"/>
        <v>0.72702241760279229</v>
      </c>
      <c r="S44" s="45">
        <f t="shared" si="5"/>
        <v>0.12016977207090428</v>
      </c>
      <c r="T44" s="45">
        <f t="shared" si="5"/>
        <v>1.1160510967686477</v>
      </c>
      <c r="U44" s="45">
        <f t="shared" si="5"/>
        <v>0.7003290906943771</v>
      </c>
      <c r="V44" s="45">
        <f t="shared" si="5"/>
        <v>0.45585606496040915</v>
      </c>
      <c r="W44" s="45">
        <f t="shared" si="5"/>
        <v>0.47124456871917669</v>
      </c>
      <c r="X44" s="45">
        <f t="shared" si="5"/>
        <v>0.16980475183219776</v>
      </c>
      <c r="Y44" s="45">
        <f t="shared" si="5"/>
        <v>2.3822189567417675</v>
      </c>
    </row>
    <row r="45" spans="2:26" x14ac:dyDescent="0.25">
      <c r="B45" s="42" t="s">
        <v>103</v>
      </c>
      <c r="C45" s="43" t="str">
        <f>IF(C44&gt;$C$41,"outlier","")</f>
        <v/>
      </c>
      <c r="D45" s="43" t="str">
        <f t="shared" ref="D45:L45" si="6">IF(D44&gt;$C$41,"outlier","")</f>
        <v/>
      </c>
      <c r="E45" s="43" t="str">
        <f t="shared" si="6"/>
        <v/>
      </c>
      <c r="F45" s="43" t="str">
        <f t="shared" si="6"/>
        <v/>
      </c>
      <c r="G45" s="43" t="str">
        <f t="shared" si="6"/>
        <v/>
      </c>
      <c r="H45" s="43" t="str">
        <f t="shared" si="6"/>
        <v/>
      </c>
      <c r="I45" s="43" t="str">
        <f t="shared" si="6"/>
        <v>outlier</v>
      </c>
      <c r="J45" s="43" t="str">
        <f t="shared" si="6"/>
        <v/>
      </c>
      <c r="K45" s="43" t="str">
        <f t="shared" si="6"/>
        <v/>
      </c>
      <c r="L45" s="43" t="str">
        <f t="shared" si="6"/>
        <v/>
      </c>
      <c r="O45" s="42" t="s">
        <v>103</v>
      </c>
      <c r="P45" s="43" t="str">
        <f>IF(P44&gt;$P$41,"outlier","")</f>
        <v/>
      </c>
      <c r="Q45" s="43" t="str">
        <f t="shared" ref="Q45:Y45" si="7">IF(Q44&gt;$P$41,"outlier","")</f>
        <v/>
      </c>
      <c r="R45" s="43" t="str">
        <f t="shared" si="7"/>
        <v/>
      </c>
      <c r="S45" s="43" t="str">
        <f t="shared" si="7"/>
        <v/>
      </c>
      <c r="T45" s="43" t="str">
        <f t="shared" si="7"/>
        <v/>
      </c>
      <c r="U45" s="43" t="str">
        <f t="shared" si="7"/>
        <v/>
      </c>
      <c r="V45" s="43" t="str">
        <f t="shared" si="7"/>
        <v/>
      </c>
      <c r="W45" s="43" t="str">
        <f t="shared" si="7"/>
        <v/>
      </c>
      <c r="X45" s="43" t="str">
        <f t="shared" si="7"/>
        <v/>
      </c>
      <c r="Y45" s="43" t="str">
        <f t="shared" si="7"/>
        <v>outlier</v>
      </c>
    </row>
    <row r="47" spans="2:26" x14ac:dyDescent="0.25">
      <c r="B47" s="41" t="s">
        <v>108</v>
      </c>
      <c r="O47" s="41" t="s">
        <v>108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2:26" x14ac:dyDescent="0.25">
      <c r="B48" t="s">
        <v>109</v>
      </c>
      <c r="C48" s="48">
        <v>0.05</v>
      </c>
      <c r="O48" t="s">
        <v>109</v>
      </c>
      <c r="P48" s="48">
        <v>0.05</v>
      </c>
      <c r="Q48" s="5"/>
      <c r="R48" s="5"/>
      <c r="S48" s="5"/>
      <c r="T48" s="5"/>
      <c r="U48" s="5"/>
      <c r="V48" s="5"/>
      <c r="W48" s="5"/>
      <c r="X48" s="5"/>
      <c r="Y48" s="5"/>
    </row>
    <row r="49" spans="2:25" x14ac:dyDescent="0.25">
      <c r="B49" t="s">
        <v>102</v>
      </c>
      <c r="C49" s="45">
        <f>_xlfn.CHISQ.INV(1-C48, 1)</f>
        <v>3.8414588206941236</v>
      </c>
      <c r="O49" t="s">
        <v>102</v>
      </c>
      <c r="P49" s="45">
        <f>_xlfn.CHISQ.INV(1-P48, 1)</f>
        <v>3.8414588206941236</v>
      </c>
      <c r="Q49" s="5"/>
      <c r="R49" s="5"/>
      <c r="S49" s="5"/>
      <c r="T49" s="5"/>
      <c r="U49" s="5"/>
      <c r="V49" s="5"/>
      <c r="W49" s="5"/>
      <c r="X49" s="5"/>
      <c r="Y49" s="5"/>
    </row>
    <row r="50" spans="2:25" x14ac:dyDescent="0.25">
      <c r="B50" t="s">
        <v>100</v>
      </c>
      <c r="C50" s="12">
        <f t="shared" ref="C50:L50" si="8">((C43-AVERAGE($C$3:$L$3))^2)/((STDEVA($C$3:$L$3))^2)</f>
        <v>0.99805618007653973</v>
      </c>
      <c r="D50" s="12">
        <f t="shared" si="8"/>
        <v>0.300047769262901</v>
      </c>
      <c r="E50" s="12">
        <f t="shared" si="8"/>
        <v>0.79559764572584579</v>
      </c>
      <c r="F50" s="12">
        <f t="shared" si="8"/>
        <v>0.7704332300559481</v>
      </c>
      <c r="G50" s="12">
        <f t="shared" si="8"/>
        <v>0.42743537577618257</v>
      </c>
      <c r="H50" s="12">
        <f t="shared" si="8"/>
        <v>1.7604222525122944E-2</v>
      </c>
      <c r="I50" s="12">
        <f t="shared" si="8"/>
        <v>4.4911571402720494</v>
      </c>
      <c r="J50" s="12">
        <f t="shared" si="8"/>
        <v>3.8843317480881545E-2</v>
      </c>
      <c r="K50" s="12">
        <f t="shared" si="8"/>
        <v>0.64562650179761172</v>
      </c>
      <c r="L50" s="12">
        <f t="shared" si="8"/>
        <v>0.51519861702690284</v>
      </c>
      <c r="O50" t="s">
        <v>100</v>
      </c>
      <c r="P50" s="12">
        <f>((P43-AVERAGE($C$9:$L$9))^2)/((STDEVA($C$9:$L$9))^2)</f>
        <v>5.5545244112476834E-2</v>
      </c>
      <c r="Q50" s="12">
        <f>((Q43-AVERAGE($C$9:$L$9))^2)/((STDEVA($C$9:$L$9))^2)</f>
        <v>0.53174449308649907</v>
      </c>
      <c r="R50" s="12">
        <f t="shared" ref="R50:Y50" si="9">((R43-AVERAGE($C$9:$L$9))^2)/((STDEVA($C$9:$L$9))^2)</f>
        <v>0.52856159569700878</v>
      </c>
      <c r="S50" s="12">
        <f t="shared" si="9"/>
        <v>1.4440774119573084E-2</v>
      </c>
      <c r="T50" s="12">
        <f t="shared" si="9"/>
        <v>1.2455700505985017</v>
      </c>
      <c r="U50" s="12">
        <f t="shared" si="9"/>
        <v>0.49046083527281303</v>
      </c>
      <c r="V50" s="12">
        <f t="shared" si="9"/>
        <v>0.20780475196118878</v>
      </c>
      <c r="W50" s="12">
        <f t="shared" si="9"/>
        <v>0.22207144354732283</v>
      </c>
      <c r="X50" s="12">
        <f t="shared" si="9"/>
        <v>2.8833653744794265E-2</v>
      </c>
      <c r="Y50" s="12">
        <f t="shared" si="9"/>
        <v>5.6749671578598369</v>
      </c>
    </row>
    <row r="51" spans="2:25" x14ac:dyDescent="0.25">
      <c r="B51" t="s">
        <v>103</v>
      </c>
      <c r="C51" s="43" t="str">
        <f>IF(C50&gt;$C$49,"outlier","")</f>
        <v/>
      </c>
      <c r="D51" s="43" t="str">
        <f t="shared" ref="D51:L51" si="10">IF(D50&gt;$C$49,"outlier","")</f>
        <v/>
      </c>
      <c r="E51" s="43" t="str">
        <f t="shared" si="10"/>
        <v/>
      </c>
      <c r="F51" s="43" t="str">
        <f t="shared" si="10"/>
        <v/>
      </c>
      <c r="G51" s="43" t="str">
        <f t="shared" si="10"/>
        <v/>
      </c>
      <c r="H51" s="43" t="str">
        <f t="shared" si="10"/>
        <v/>
      </c>
      <c r="I51" s="43" t="str">
        <f t="shared" si="10"/>
        <v>outlier</v>
      </c>
      <c r="J51" s="43" t="str">
        <f t="shared" si="10"/>
        <v/>
      </c>
      <c r="K51" s="43" t="str">
        <f t="shared" si="10"/>
        <v/>
      </c>
      <c r="L51" s="43" t="str">
        <f t="shared" si="10"/>
        <v/>
      </c>
      <c r="O51" t="s">
        <v>103</v>
      </c>
      <c r="P51" s="43" t="str">
        <f>IF(P50&gt;$P$49,"outlier","")</f>
        <v/>
      </c>
      <c r="Q51" s="43" t="str">
        <f t="shared" ref="Q51:Y51" si="11">IF(Q50&gt;$P$49,"outlier","")</f>
        <v/>
      </c>
      <c r="R51" s="43" t="str">
        <f t="shared" si="11"/>
        <v/>
      </c>
      <c r="S51" s="43" t="str">
        <f t="shared" si="11"/>
        <v/>
      </c>
      <c r="T51" s="43" t="str">
        <f t="shared" si="11"/>
        <v/>
      </c>
      <c r="U51" s="43" t="str">
        <f t="shared" si="11"/>
        <v/>
      </c>
      <c r="V51" s="43" t="str">
        <f t="shared" si="11"/>
        <v/>
      </c>
      <c r="W51" s="43" t="str">
        <f t="shared" si="11"/>
        <v/>
      </c>
      <c r="X51" s="43" t="str">
        <f t="shared" si="11"/>
        <v/>
      </c>
      <c r="Y51" s="43" t="str">
        <f t="shared" si="11"/>
        <v>outlier</v>
      </c>
    </row>
    <row r="52" spans="2:25" x14ac:dyDescent="0.25">
      <c r="B52" t="s">
        <v>110</v>
      </c>
      <c r="C52" s="12">
        <f>1-_xlfn.CHISQ.DIST(C50, 1, TRUE)</f>
        <v>0.31778131295836298</v>
      </c>
      <c r="D52" s="12">
        <f t="shared" ref="D52:L52" si="12">1-_xlfn.CHISQ.DIST(D50, 1, TRUE)</f>
        <v>0.58385247528666318</v>
      </c>
      <c r="E52" s="12">
        <f t="shared" si="12"/>
        <v>0.37241286913420213</v>
      </c>
      <c r="F52" s="12">
        <f t="shared" si="12"/>
        <v>0.38008306250659807</v>
      </c>
      <c r="G52" s="12">
        <f t="shared" si="12"/>
        <v>0.51325006093331693</v>
      </c>
      <c r="H52" s="12">
        <f t="shared" si="12"/>
        <v>0.89444574501405616</v>
      </c>
      <c r="I52" s="12">
        <f t="shared" si="12"/>
        <v>3.407060868547418E-2</v>
      </c>
      <c r="J52" s="12">
        <f t="shared" si="12"/>
        <v>0.84375939305298431</v>
      </c>
      <c r="K52" s="12">
        <f t="shared" si="12"/>
        <v>0.4216806729016882</v>
      </c>
      <c r="L52" s="12">
        <f t="shared" si="12"/>
        <v>0.47289703291874441</v>
      </c>
      <c r="O52" t="s">
        <v>110</v>
      </c>
      <c r="P52" s="12">
        <f>1-_xlfn.CHISQ.DIST(P50, 1, TRUE)</f>
        <v>0.81368069129530352</v>
      </c>
      <c r="Q52" s="12">
        <f t="shared" ref="Q52:Y52" si="13">1-_xlfn.CHISQ.DIST(Q50, 1, TRUE)</f>
        <v>0.46587436041586727</v>
      </c>
      <c r="R52" s="12">
        <f t="shared" si="13"/>
        <v>0.46721222300929699</v>
      </c>
      <c r="S52" s="12">
        <f t="shared" si="13"/>
        <v>0.90434866261379354</v>
      </c>
      <c r="T52" s="12">
        <f t="shared" si="13"/>
        <v>0.26440026334738143</v>
      </c>
      <c r="U52" s="12">
        <f t="shared" si="13"/>
        <v>0.48372180839265055</v>
      </c>
      <c r="V52" s="12">
        <f t="shared" si="13"/>
        <v>0.64849348483266411</v>
      </c>
      <c r="W52" s="12">
        <f t="shared" si="13"/>
        <v>0.63746609487548977</v>
      </c>
      <c r="X52" s="12">
        <f t="shared" si="13"/>
        <v>0.86516368978161884</v>
      </c>
      <c r="Y52" s="12">
        <f t="shared" si="13"/>
        <v>1.7208661972388573E-2</v>
      </c>
    </row>
    <row r="54" spans="2:25" x14ac:dyDescent="0.25">
      <c r="B54" s="41" t="s">
        <v>117</v>
      </c>
      <c r="C54"/>
      <c r="D54"/>
      <c r="E54"/>
      <c r="F54"/>
      <c r="G54"/>
      <c r="H54"/>
      <c r="I54"/>
      <c r="J54"/>
      <c r="K54"/>
      <c r="O54" s="41" t="s">
        <v>117</v>
      </c>
    </row>
    <row r="55" spans="2:25" x14ac:dyDescent="0.25">
      <c r="B55" t="s">
        <v>121</v>
      </c>
      <c r="C55"/>
      <c r="D55"/>
      <c r="E55"/>
      <c r="F55" t="s">
        <v>119</v>
      </c>
      <c r="G55"/>
      <c r="H55"/>
      <c r="I55"/>
      <c r="J55"/>
      <c r="K55"/>
      <c r="O55" t="s">
        <v>122</v>
      </c>
      <c r="S55" t="s">
        <v>123</v>
      </c>
    </row>
    <row r="56" spans="2:25" x14ac:dyDescent="0.25">
      <c r="B56" t="s">
        <v>118</v>
      </c>
      <c r="C56"/>
      <c r="D56"/>
      <c r="E56"/>
      <c r="F56" t="s">
        <v>120</v>
      </c>
      <c r="G56"/>
      <c r="H56"/>
      <c r="I56"/>
      <c r="J56"/>
      <c r="K56"/>
      <c r="O56" t="s">
        <v>115</v>
      </c>
      <c r="S56" t="s">
        <v>116</v>
      </c>
    </row>
    <row r="58" spans="2:25" x14ac:dyDescent="0.25">
      <c r="B58" s="41" t="s">
        <v>152</v>
      </c>
      <c r="O58" s="41" t="s">
        <v>152</v>
      </c>
    </row>
    <row r="59" spans="2:25" x14ac:dyDescent="0.25">
      <c r="B59" t="s">
        <v>159</v>
      </c>
      <c r="O59" t="s">
        <v>160</v>
      </c>
    </row>
  </sheetData>
  <conditionalFormatting sqref="C52:L52">
    <cfRule type="expression" dxfId="3" priority="2">
      <formula>C52&lt;0.05</formula>
    </cfRule>
  </conditionalFormatting>
  <conditionalFormatting sqref="P52:Y52">
    <cfRule type="expression" dxfId="2" priority="1">
      <formula>P52&lt;0.05</formula>
    </cfRule>
  </conditionalFormatting>
  <dataValidations disablePrompts="1" count="3">
    <dataValidation type="list" allowBlank="1" showInputMessage="1" showErrorMessage="1" sqref="AB6:AE6 AB12">
      <formula1>$AF$2:$AF$3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S2 S8">
      <formula1>$AF$5:$AF$6</formula1>
    </dataValidation>
  </dataValidations>
  <pageMargins left="0.7" right="0.7" top="0.75" bottom="0.75" header="0.3" footer="0.3"/>
  <pageSetup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F63"/>
  <sheetViews>
    <sheetView zoomScale="85" zoomScaleNormal="85" workbookViewId="0"/>
  </sheetViews>
  <sheetFormatPr defaultRowHeight="15" x14ac:dyDescent="0.25"/>
  <cols>
    <col min="1" max="1" width="2.140625" customWidth="1"/>
    <col min="2" max="2" width="36" bestFit="1" customWidth="1"/>
    <col min="3" max="12" width="9.28515625" style="5" customWidth="1"/>
    <col min="13" max="13" width="7" bestFit="1" customWidth="1"/>
    <col min="14" max="14" width="1.7109375" customWidth="1"/>
    <col min="15" max="18" width="13" customWidth="1"/>
    <col min="20" max="20" width="15.85546875" customWidth="1"/>
    <col min="25" max="26" width="12.28515625" bestFit="1" customWidth="1"/>
    <col min="28" max="28" width="4.42578125" customWidth="1"/>
    <col min="29" max="32" width="2.42578125" hidden="1" customWidth="1"/>
  </cols>
  <sheetData>
    <row r="1" spans="2:32" ht="6.75" customHeight="1" thickBot="1" x14ac:dyDescent="0.3"/>
    <row r="2" spans="2:32" ht="15.75" thickBot="1" x14ac:dyDescent="0.3">
      <c r="B2" s="20" t="s">
        <v>54</v>
      </c>
      <c r="C2" s="13">
        <f>207/60</f>
        <v>3.45</v>
      </c>
      <c r="D2" s="14">
        <f>C2+414/60</f>
        <v>10.350000000000001</v>
      </c>
      <c r="E2" s="14">
        <f t="shared" ref="E2:L2" si="0">D2+414/60</f>
        <v>17.25</v>
      </c>
      <c r="F2" s="14">
        <f t="shared" si="0"/>
        <v>24.15</v>
      </c>
      <c r="G2" s="14">
        <f t="shared" si="0"/>
        <v>31.049999999999997</v>
      </c>
      <c r="H2" s="14">
        <f t="shared" si="0"/>
        <v>37.949999999999996</v>
      </c>
      <c r="I2" s="14">
        <f t="shared" si="0"/>
        <v>44.849999999999994</v>
      </c>
      <c r="J2" s="14">
        <f t="shared" si="0"/>
        <v>51.749999999999993</v>
      </c>
      <c r="K2" s="15">
        <f t="shared" si="0"/>
        <v>58.649999999999991</v>
      </c>
      <c r="L2" s="16">
        <f t="shared" si="0"/>
        <v>65.55</v>
      </c>
      <c r="P2" t="s">
        <v>79</v>
      </c>
      <c r="R2" s="36" t="s">
        <v>96</v>
      </c>
      <c r="S2" s="35" t="s">
        <v>95</v>
      </c>
      <c r="V2" s="31" t="s">
        <v>83</v>
      </c>
      <c r="W2" s="5"/>
      <c r="X2" s="5"/>
      <c r="Y2" s="5"/>
      <c r="Z2" s="5"/>
      <c r="AA2" s="5"/>
      <c r="AF2" s="5" t="s">
        <v>92</v>
      </c>
    </row>
    <row r="3" spans="2:32" ht="15.75" thickBot="1" x14ac:dyDescent="0.3">
      <c r="B3" s="20" t="s">
        <v>77</v>
      </c>
      <c r="C3" s="44">
        <f>'300 uA'!B21*10^9</f>
        <v>0.86825999999999992</v>
      </c>
      <c r="D3" s="44">
        <f>'300 uA'!C21*10^9</f>
        <v>1.5247999999999999</v>
      </c>
      <c r="E3" s="44">
        <f>'300 uA'!D21*10^9</f>
        <v>0.69862999999999997</v>
      </c>
      <c r="F3" s="44">
        <f>'300 uA'!E21*10^9</f>
        <v>0.78645999999999994</v>
      </c>
      <c r="G3" s="44">
        <f>'300 uA'!F21*10^9</f>
        <v>2.5337000000000001</v>
      </c>
      <c r="H3" s="44">
        <f>'300 uA'!G21*10^9</f>
        <v>1.1187</v>
      </c>
      <c r="I3" s="44">
        <f>'300 uA'!H21*10^9</f>
        <v>1.1547000000000001</v>
      </c>
      <c r="J3" s="44">
        <f>'300 uA'!I21*10^9</f>
        <v>0.96628999999999998</v>
      </c>
      <c r="K3" s="44">
        <f>'300 uA'!J21*10^9</f>
        <v>0.88751999999999998</v>
      </c>
      <c r="L3" s="47">
        <f>'300 uA'!K21*10^9</f>
        <v>1.3307</v>
      </c>
      <c r="M3" t="s">
        <v>107</v>
      </c>
      <c r="O3" s="23" t="s">
        <v>58</v>
      </c>
      <c r="P3" s="23" t="s">
        <v>59</v>
      </c>
      <c r="Q3" s="24" t="s">
        <v>53</v>
      </c>
      <c r="R3" s="23" t="s">
        <v>60</v>
      </c>
      <c r="T3" s="23" t="s">
        <v>72</v>
      </c>
      <c r="V3" t="s">
        <v>85</v>
      </c>
      <c r="W3" s="9">
        <f>COUNTA($C3:$L3)</f>
        <v>10</v>
      </c>
      <c r="X3" s="5"/>
      <c r="Y3" s="9" t="s">
        <v>88</v>
      </c>
      <c r="Z3" s="32">
        <f>AVERAGE($C2:$L2)</f>
        <v>34.5</v>
      </c>
      <c r="AA3" s="5" t="s">
        <v>89</v>
      </c>
      <c r="AF3" s="5" t="s">
        <v>93</v>
      </c>
    </row>
    <row r="4" spans="2:32" ht="15.75" thickBot="1" x14ac:dyDescent="0.3">
      <c r="B4" s="20" t="s">
        <v>55</v>
      </c>
      <c r="C4" s="46">
        <f>0.00064*C$2+1.16488</f>
        <v>1.1670879999999999</v>
      </c>
      <c r="D4" s="17"/>
      <c r="E4" s="18"/>
      <c r="F4" s="18"/>
      <c r="G4" s="18"/>
      <c r="H4" s="18"/>
      <c r="I4" s="18"/>
      <c r="J4" s="18"/>
      <c r="K4" s="19"/>
      <c r="L4" s="47">
        <f>0.00064*L$2+1.16488</f>
        <v>1.2068319999999999</v>
      </c>
      <c r="M4" t="s">
        <v>107</v>
      </c>
      <c r="O4" s="22">
        <f>IF($S$2="Max-Min",MAX($C$3:$L$3)-MIN($C$3:$L$3),$L4-$C4)/10^9</f>
        <v>1.83507E-9</v>
      </c>
      <c r="P4" s="22">
        <f>ABS(O4)/SQRT($P$13)</f>
        <v>5.2973907924090329E-10</v>
      </c>
      <c r="Q4" s="25">
        <f>ROUNDDOWN(TINV(1-0.95,COUNTA($C$3:$L$3)-1),2)</f>
        <v>2.2599999999999998</v>
      </c>
      <c r="R4" s="22">
        <f>Q4*P4</f>
        <v>1.1972103190844414E-9</v>
      </c>
      <c r="T4" s="22">
        <f>SQRT(SUMSQ($R4,$W6))</f>
        <v>1.1972103190844414E-9</v>
      </c>
      <c r="V4" s="30" t="s">
        <v>90</v>
      </c>
      <c r="W4" s="5">
        <f>ROUND(_xlfn.T.INV((1+0.95)/2,($W3-2)),2)</f>
        <v>2.31</v>
      </c>
      <c r="X4" s="5"/>
      <c r="Y4" s="5" t="s">
        <v>87</v>
      </c>
      <c r="Z4" s="32">
        <f>SQRT(DEVSQ($C2:$L2))</f>
        <v>62.672362329818071</v>
      </c>
      <c r="AA4" s="5"/>
    </row>
    <row r="5" spans="2:32" ht="15.75" thickBot="1" x14ac:dyDescent="0.3">
      <c r="B5" s="21" t="s">
        <v>82</v>
      </c>
      <c r="C5" s="46">
        <f>0.00064*C$2+1.16488</f>
        <v>1.1670879999999999</v>
      </c>
      <c r="D5" s="17"/>
      <c r="E5" s="18"/>
      <c r="F5" s="18"/>
      <c r="G5" s="18"/>
      <c r="H5" s="18"/>
      <c r="I5" s="18"/>
      <c r="J5" s="18"/>
      <c r="K5" s="19"/>
      <c r="L5" s="47">
        <f>0.00064*(60+C$2)+1.16488</f>
        <v>1.2054879999999999</v>
      </c>
      <c r="M5" t="s">
        <v>107</v>
      </c>
      <c r="O5" s="22">
        <f>IF($S$2="Max-Min",MAX($C$3:$L$3)-MIN($C$3:$L$3),$L5-$C5)/10^9</f>
        <v>1.83507E-9</v>
      </c>
      <c r="P5" s="22">
        <f>ABS(O5)/SQRT($P$13)</f>
        <v>5.2973907924090329E-10</v>
      </c>
      <c r="Q5" s="25">
        <f>ROUNDDOWN(TINV(1-0.95,COUNTA($C$3:$L$3)-1),2)</f>
        <v>2.2599999999999998</v>
      </c>
      <c r="R5" s="22">
        <f>Q5*P5</f>
        <v>1.1972103190844414E-9</v>
      </c>
      <c r="T5" s="11"/>
      <c r="V5" s="30" t="s">
        <v>84</v>
      </c>
      <c r="W5" s="6">
        <f>STEYX($C3:$L3,$C2:$L2)/10^9</f>
        <v>5.6914310471998431E-10</v>
      </c>
      <c r="X5" t="s">
        <v>57</v>
      </c>
      <c r="AF5" t="s">
        <v>94</v>
      </c>
    </row>
    <row r="6" spans="2:32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O6" s="27"/>
      <c r="P6" s="27"/>
      <c r="Q6" s="28"/>
      <c r="R6" s="27"/>
      <c r="T6" s="11"/>
      <c r="V6" s="29" t="s">
        <v>86</v>
      </c>
      <c r="W6" s="6">
        <f>IF($S2="Max-Min",0,IF($AB6="N",0,$W4*$W5/$Z4))</f>
        <v>0</v>
      </c>
      <c r="X6" t="s">
        <v>57</v>
      </c>
      <c r="Y6" s="40"/>
      <c r="Z6" s="40"/>
      <c r="AA6" s="34" t="s">
        <v>91</v>
      </c>
      <c r="AB6" s="33" t="s">
        <v>93</v>
      </c>
      <c r="AF6" t="s">
        <v>95</v>
      </c>
    </row>
    <row r="7" spans="2:32" ht="6.75" customHeight="1" thickBot="1" x14ac:dyDescent="0.3"/>
    <row r="8" spans="2:32" ht="15.75" thickBot="1" x14ac:dyDescent="0.3">
      <c r="B8" s="20" t="s">
        <v>54</v>
      </c>
      <c r="C8" s="13">
        <f>207/60</f>
        <v>3.45</v>
      </c>
      <c r="D8" s="14">
        <f>C8+414/60</f>
        <v>10.350000000000001</v>
      </c>
      <c r="E8" s="14">
        <f t="shared" ref="E8:L8" si="1">D8+414/60</f>
        <v>17.25</v>
      </c>
      <c r="F8" s="14">
        <f t="shared" si="1"/>
        <v>24.15</v>
      </c>
      <c r="G8" s="14">
        <f t="shared" si="1"/>
        <v>31.049999999999997</v>
      </c>
      <c r="H8" s="14">
        <f t="shared" si="1"/>
        <v>37.949999999999996</v>
      </c>
      <c r="I8" s="14">
        <f t="shared" si="1"/>
        <v>44.849999999999994</v>
      </c>
      <c r="J8" s="14">
        <f t="shared" si="1"/>
        <v>51.749999999999993</v>
      </c>
      <c r="K8" s="15">
        <f t="shared" si="1"/>
        <v>58.649999999999991</v>
      </c>
      <c r="L8" s="16">
        <f t="shared" si="1"/>
        <v>65.55</v>
      </c>
      <c r="P8" t="s">
        <v>80</v>
      </c>
      <c r="R8" s="36" t="s">
        <v>96</v>
      </c>
      <c r="S8" s="35" t="s">
        <v>95</v>
      </c>
    </row>
    <row r="9" spans="2:32" ht="15.75" thickBot="1" x14ac:dyDescent="0.3">
      <c r="B9" s="20" t="s">
        <v>78</v>
      </c>
      <c r="C9" s="44">
        <f>'300 uA'!B86*10^9</f>
        <v>0.45378000000000002</v>
      </c>
      <c r="D9" s="44">
        <f>'300 uA'!C86*10^9</f>
        <v>0.98033000000000003</v>
      </c>
      <c r="E9" s="44">
        <f>'300 uA'!D86*10^9</f>
        <v>0.45235999999999998</v>
      </c>
      <c r="F9" s="44">
        <f>'300 uA'!E86*10^9</f>
        <v>0.63966000000000001</v>
      </c>
      <c r="G9" s="44">
        <f>'300 uA'!F86*10^9</f>
        <v>1.6984000000000001</v>
      </c>
      <c r="H9" s="44">
        <f>'300 uA'!G86*10^9</f>
        <v>0.47693000000000002</v>
      </c>
      <c r="I9" s="44">
        <f>'300 uA'!H86*10^9</f>
        <v>0.31669999999999998</v>
      </c>
      <c r="J9" s="44">
        <f>'300 uA'!I86*10^9</f>
        <v>0.43179000000000001</v>
      </c>
      <c r="K9" s="44">
        <f>'300 uA'!J86*10^9</f>
        <v>0.42266999999999999</v>
      </c>
      <c r="L9" s="47">
        <f>'300 uA'!K86*10^9</f>
        <v>0.34642000000000001</v>
      </c>
      <c r="M9" t="s">
        <v>107</v>
      </c>
      <c r="O9" s="23" t="s">
        <v>58</v>
      </c>
      <c r="P9" s="23" t="s">
        <v>59</v>
      </c>
      <c r="Q9" s="24" t="s">
        <v>53</v>
      </c>
      <c r="R9" s="23" t="s">
        <v>60</v>
      </c>
      <c r="T9" s="23" t="s">
        <v>81</v>
      </c>
      <c r="V9" t="s">
        <v>85</v>
      </c>
      <c r="W9" s="9">
        <f>COUNTA($C9:$L9)</f>
        <v>10</v>
      </c>
      <c r="X9" s="5"/>
      <c r="Y9" s="9" t="s">
        <v>88</v>
      </c>
      <c r="Z9" s="32">
        <f>AVERAGE($C8:$L8)</f>
        <v>34.5</v>
      </c>
      <c r="AA9" s="5" t="s">
        <v>89</v>
      </c>
    </row>
    <row r="10" spans="2:32" ht="15.75" thickBot="1" x14ac:dyDescent="0.3">
      <c r="B10" s="20" t="s">
        <v>55</v>
      </c>
      <c r="C10" s="46">
        <f>-0.0063*C$8+0.839</f>
        <v>0.81726500000000002</v>
      </c>
      <c r="D10" s="17"/>
      <c r="E10" s="18"/>
      <c r="F10" s="18"/>
      <c r="G10" s="18"/>
      <c r="H10" s="18"/>
      <c r="I10" s="18"/>
      <c r="J10" s="18"/>
      <c r="K10" s="19"/>
      <c r="L10" s="47">
        <f>-0.0063*L$8+0.839</f>
        <v>0.426035</v>
      </c>
      <c r="M10" t="s">
        <v>107</v>
      </c>
      <c r="O10" s="22">
        <f>IF($S$8="Max-Min",MAX($C$9:$L$9)-MIN($C$9:$L$9),$L10-$C10)/10^9</f>
        <v>1.3817000000000001E-9</v>
      </c>
      <c r="P10" s="22">
        <f>ABS(O10)/SQRT($P$13)</f>
        <v>3.98862433469653E-10</v>
      </c>
      <c r="Q10" s="25">
        <f>ROUNDDOWN(TINV(1-0.95,COUNTA($C$9:$L$9)-1),2)</f>
        <v>2.2599999999999998</v>
      </c>
      <c r="R10" s="22">
        <f>Q10*P10</f>
        <v>9.0142909964141574E-10</v>
      </c>
      <c r="T10" s="22">
        <f>SQRT(SUMSQ($R10,$W12))</f>
        <v>9.0142909964141574E-10</v>
      </c>
      <c r="V10" s="30" t="s">
        <v>90</v>
      </c>
      <c r="W10" s="5">
        <f>ROUND(_xlfn.T.INV((1+0.95)/2,($W9-2)),2)</f>
        <v>2.31</v>
      </c>
      <c r="X10" s="5"/>
      <c r="Y10" s="5" t="s">
        <v>87</v>
      </c>
      <c r="Z10" s="32">
        <f>SQRT(DEVSQ($C8:$L8))</f>
        <v>62.672362329818071</v>
      </c>
      <c r="AA10" s="5"/>
      <c r="AF10">
        <v>3</v>
      </c>
    </row>
    <row r="11" spans="2:32" ht="15.75" thickBot="1" x14ac:dyDescent="0.3">
      <c r="B11" s="21" t="s">
        <v>82</v>
      </c>
      <c r="C11" s="46">
        <f>-0.0063*C$8+0.839</f>
        <v>0.81726500000000002</v>
      </c>
      <c r="D11" s="17"/>
      <c r="E11" s="18"/>
      <c r="F11" s="18"/>
      <c r="G11" s="18"/>
      <c r="H11" s="18"/>
      <c r="I11" s="18"/>
      <c r="J11" s="18"/>
      <c r="K11" s="19"/>
      <c r="L11" s="47">
        <f>-0.0063*(60+C$8)+0.839</f>
        <v>0.43926499999999996</v>
      </c>
      <c r="M11" t="s">
        <v>107</v>
      </c>
      <c r="O11" s="22">
        <f>IF($S$8="Max-Min",MAX($C$9:$L$9)-MIN($C$9:$L$9),$L11-$C11)/10^9</f>
        <v>1.3817000000000001E-9</v>
      </c>
      <c r="P11" s="22">
        <f>ABS(O11)/SQRT($P$13)</f>
        <v>3.98862433469653E-10</v>
      </c>
      <c r="Q11" s="25">
        <f>ROUNDDOWN(TINV(1-0.95,COUNTA($C$9:$L$9)-1),2)</f>
        <v>2.2599999999999998</v>
      </c>
      <c r="R11" s="22">
        <f>Q11*P11</f>
        <v>9.0142909964141574E-10</v>
      </c>
      <c r="V11" s="30" t="s">
        <v>84</v>
      </c>
      <c r="W11" s="6">
        <f>STEYX($C9:$L9,$C8:$L8)/10^9</f>
        <v>4.2647563496942684E-10</v>
      </c>
      <c r="X11" t="s">
        <v>57</v>
      </c>
      <c r="AF11">
        <v>6</v>
      </c>
    </row>
    <row r="12" spans="2:32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O12" s="27"/>
      <c r="P12" s="27"/>
      <c r="Q12" s="28"/>
      <c r="R12" s="27"/>
      <c r="V12" s="29" t="s">
        <v>86</v>
      </c>
      <c r="W12" s="6">
        <f>IF($S8="Max-Min",0,IF($AB12="N",0,$W10*$W11/$Z10))</f>
        <v>0</v>
      </c>
      <c r="X12" t="s">
        <v>57</v>
      </c>
      <c r="Y12" s="40"/>
      <c r="Z12" s="40"/>
      <c r="AA12" s="34" t="s">
        <v>91</v>
      </c>
      <c r="AB12" s="33" t="s">
        <v>93</v>
      </c>
      <c r="AF12">
        <v>12</v>
      </c>
    </row>
    <row r="13" spans="2:32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O13" s="39" t="s">
        <v>97</v>
      </c>
      <c r="P13" s="38">
        <v>12</v>
      </c>
      <c r="U13" s="37" t="s">
        <v>98</v>
      </c>
    </row>
    <row r="14" spans="2:32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27"/>
    </row>
    <row r="15" spans="2:32" x14ac:dyDescent="0.25">
      <c r="Y15" s="11"/>
      <c r="Z15" s="11"/>
    </row>
    <row r="34" spans="2:26" x14ac:dyDescent="0.25">
      <c r="Y34" s="51"/>
    </row>
    <row r="37" spans="2:26" x14ac:dyDescent="0.25">
      <c r="E37" s="30" t="s">
        <v>99</v>
      </c>
      <c r="F37" s="12">
        <f>PEARSON(C3:L3,C2:L2)</f>
        <v>2.4921896530847587E-2</v>
      </c>
      <c r="P37" s="30" t="s">
        <v>99</v>
      </c>
      <c r="Q37" s="12">
        <f>PEARSON(C9:L9,C8:L8)</f>
        <v>-0.31071094723803205</v>
      </c>
    </row>
    <row r="39" spans="2:26" x14ac:dyDescent="0.25">
      <c r="B39" s="41" t="s">
        <v>104</v>
      </c>
      <c r="O39" s="41" t="s">
        <v>106</v>
      </c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2:26" x14ac:dyDescent="0.25">
      <c r="B40" t="s">
        <v>101</v>
      </c>
      <c r="C40" s="5">
        <v>10</v>
      </c>
      <c r="O40" t="s">
        <v>101</v>
      </c>
      <c r="P40" s="5">
        <v>10</v>
      </c>
      <c r="Q40" s="5"/>
      <c r="R40" s="5"/>
      <c r="S40" s="5"/>
      <c r="T40" s="5"/>
      <c r="U40" s="5"/>
      <c r="V40" s="5"/>
      <c r="W40" s="5"/>
      <c r="X40" s="5"/>
      <c r="Y40" s="5"/>
    </row>
    <row r="41" spans="2:26" x14ac:dyDescent="0.25">
      <c r="B41" t="s">
        <v>102</v>
      </c>
      <c r="C41" s="45">
        <f>ABS(_xlfn.NORM.S.INV(1/(4*C40)))</f>
        <v>1.9599639845400538</v>
      </c>
      <c r="O41" t="s">
        <v>102</v>
      </c>
      <c r="P41" s="45">
        <f>ABS(_xlfn.NORM.S.INV(1/(4*P40)))</f>
        <v>1.9599639845400538</v>
      </c>
      <c r="Q41" s="45"/>
      <c r="R41" s="45"/>
      <c r="S41" s="45"/>
      <c r="T41" s="45"/>
      <c r="U41" s="45"/>
      <c r="V41" s="45"/>
      <c r="W41" s="45"/>
      <c r="X41" s="45"/>
      <c r="Y41" s="45"/>
    </row>
    <row r="42" spans="2:26" x14ac:dyDescent="0.25">
      <c r="B42" t="s">
        <v>105</v>
      </c>
      <c r="C42" s="5">
        <v>3.45</v>
      </c>
      <c r="D42" s="5">
        <v>10.350000000000001</v>
      </c>
      <c r="E42" s="5">
        <v>17.25</v>
      </c>
      <c r="F42" s="5">
        <v>24.15</v>
      </c>
      <c r="G42" s="5">
        <v>31.049999999999997</v>
      </c>
      <c r="H42" s="5">
        <v>37.949999999999996</v>
      </c>
      <c r="I42" s="5">
        <v>44.849999999999994</v>
      </c>
      <c r="J42" s="5">
        <v>51.749999999999993</v>
      </c>
      <c r="K42" s="5">
        <v>58.649999999999991</v>
      </c>
      <c r="L42" s="5">
        <v>65.55</v>
      </c>
      <c r="O42" t="s">
        <v>105</v>
      </c>
      <c r="P42" s="5">
        <v>3.45</v>
      </c>
      <c r="Q42" s="5">
        <v>10.350000000000001</v>
      </c>
      <c r="R42" s="5">
        <v>17.25</v>
      </c>
      <c r="S42" s="5">
        <v>24.15</v>
      </c>
      <c r="T42" s="5">
        <v>31.049999999999997</v>
      </c>
      <c r="U42" s="5">
        <v>37.949999999999996</v>
      </c>
      <c r="V42" s="5">
        <v>44.849999999999994</v>
      </c>
      <c r="W42" s="5">
        <v>51.749999999999993</v>
      </c>
      <c r="X42" s="5">
        <v>58.649999999999991</v>
      </c>
      <c r="Y42" s="5">
        <v>65.55</v>
      </c>
    </row>
    <row r="43" spans="2:26" x14ac:dyDescent="0.25">
      <c r="B43" t="str">
        <f>B3</f>
        <v>Desvio de Allan (I_1 = 300 uA, tau = 20 s)</v>
      </c>
      <c r="C43" s="12">
        <f>C3</f>
        <v>0.86825999999999992</v>
      </c>
      <c r="D43" s="12">
        <f t="shared" ref="D43:L43" si="2">D3</f>
        <v>1.5247999999999999</v>
      </c>
      <c r="E43" s="12">
        <f t="shared" si="2"/>
        <v>0.69862999999999997</v>
      </c>
      <c r="F43" s="12">
        <f t="shared" si="2"/>
        <v>0.78645999999999994</v>
      </c>
      <c r="G43" s="12">
        <f t="shared" si="2"/>
        <v>2.5337000000000001</v>
      </c>
      <c r="H43" s="12">
        <f t="shared" si="2"/>
        <v>1.1187</v>
      </c>
      <c r="I43" s="12">
        <f t="shared" si="2"/>
        <v>1.1547000000000001</v>
      </c>
      <c r="J43" s="12">
        <f t="shared" si="2"/>
        <v>0.96628999999999998</v>
      </c>
      <c r="K43" s="12">
        <f t="shared" si="2"/>
        <v>0.88751999999999998</v>
      </c>
      <c r="L43" s="12">
        <f t="shared" si="2"/>
        <v>1.3307</v>
      </c>
      <c r="M43" t="s">
        <v>107</v>
      </c>
      <c r="O43" t="str">
        <f>B9</f>
        <v>Desvio de Allan (I_1 = 300 uA, tau = 99 s)</v>
      </c>
      <c r="P43" s="12">
        <f>C9</f>
        <v>0.45378000000000002</v>
      </c>
      <c r="Q43" s="12">
        <f t="shared" ref="Q43:Y43" si="3">D9</f>
        <v>0.98033000000000003</v>
      </c>
      <c r="R43" s="12">
        <f t="shared" si="3"/>
        <v>0.45235999999999998</v>
      </c>
      <c r="S43" s="12">
        <f t="shared" si="3"/>
        <v>0.63966000000000001</v>
      </c>
      <c r="T43" s="12">
        <f t="shared" si="3"/>
        <v>1.6984000000000001</v>
      </c>
      <c r="U43" s="12">
        <f t="shared" si="3"/>
        <v>0.47693000000000002</v>
      </c>
      <c r="V43" s="12">
        <f t="shared" si="3"/>
        <v>0.31669999999999998</v>
      </c>
      <c r="W43" s="12">
        <f t="shared" si="3"/>
        <v>0.43179000000000001</v>
      </c>
      <c r="X43" s="12">
        <f t="shared" si="3"/>
        <v>0.42266999999999999</v>
      </c>
      <c r="Y43" s="12">
        <f t="shared" si="3"/>
        <v>0.34642000000000001</v>
      </c>
      <c r="Z43" t="s">
        <v>107</v>
      </c>
    </row>
    <row r="44" spans="2:26" x14ac:dyDescent="0.25">
      <c r="B44" t="s">
        <v>100</v>
      </c>
      <c r="C44" s="45">
        <f>ABS((C43-(AVERAGE($C$3:$L$3)))/(STDEVA($C$3:$L$3)))</f>
        <v>0.59377749956492809</v>
      </c>
      <c r="D44" s="45">
        <f t="shared" ref="D44:L44" si="4">ABS((D43-(AVERAGE($C$3:$L$3)))/(STDEVA($C$3:$L$3)))</f>
        <v>0.62937627860861123</v>
      </c>
      <c r="E44" s="45">
        <f t="shared" si="4"/>
        <v>0.90980329447700869</v>
      </c>
      <c r="F44" s="45">
        <f t="shared" si="4"/>
        <v>0.74617336128637002</v>
      </c>
      <c r="G44" s="45">
        <f t="shared" si="4"/>
        <v>2.508987340842876</v>
      </c>
      <c r="H44" s="45">
        <f t="shared" si="4"/>
        <v>0.12720024272485542</v>
      </c>
      <c r="I44" s="45">
        <f t="shared" si="4"/>
        <v>6.0131159326665733E-2</v>
      </c>
      <c r="J44" s="45">
        <f t="shared" si="4"/>
        <v>0.41114465941146888</v>
      </c>
      <c r="K44" s="45">
        <f t="shared" si="4"/>
        <v>0.55789553994689656</v>
      </c>
      <c r="L44" s="45">
        <f t="shared" si="4"/>
        <v>0.26776213728670567</v>
      </c>
      <c r="O44" t="s">
        <v>100</v>
      </c>
      <c r="P44" s="45">
        <f>ABS((P43-(AVERAGE($C$9:$L$9)))/(STDEVA($C$9:$L$9)))</f>
        <v>0.39743481181507373</v>
      </c>
      <c r="Q44" s="45">
        <f t="shared" ref="Q44:Y44" si="5">ABS((Q43-(AVERAGE($C$9:$L$9)))/(STDEVA($C$9:$L$9)))</f>
        <v>0.84729705372004882</v>
      </c>
      <c r="R44" s="45">
        <f t="shared" si="5"/>
        <v>0.40079160461549135</v>
      </c>
      <c r="S44" s="45">
        <f t="shared" si="5"/>
        <v>4.1974093636770467E-2</v>
      </c>
      <c r="T44" s="45">
        <f t="shared" si="5"/>
        <v>2.5447704383650125</v>
      </c>
      <c r="U44" s="45">
        <f t="shared" si="5"/>
        <v>0.34270963341389987</v>
      </c>
      <c r="V44" s="45">
        <f t="shared" si="5"/>
        <v>0.72148351398496191</v>
      </c>
      <c r="W44" s="45">
        <f t="shared" si="5"/>
        <v>0.44941782144970926</v>
      </c>
      <c r="X44" s="45">
        <f t="shared" si="5"/>
        <v>0.47097694140732077</v>
      </c>
      <c r="Y44" s="45">
        <f t="shared" si="5"/>
        <v>0.65122725903537715</v>
      </c>
    </row>
    <row r="45" spans="2:26" x14ac:dyDescent="0.25">
      <c r="B45" s="42" t="s">
        <v>103</v>
      </c>
      <c r="C45" s="43" t="str">
        <f>IF(C44&gt;$C$41,"outlier","")</f>
        <v/>
      </c>
      <c r="D45" s="43" t="str">
        <f t="shared" ref="D45:L45" si="6">IF(D44&gt;$C$41,"outlier","")</f>
        <v/>
      </c>
      <c r="E45" s="43" t="str">
        <f t="shared" si="6"/>
        <v/>
      </c>
      <c r="F45" s="43" t="str">
        <f t="shared" si="6"/>
        <v/>
      </c>
      <c r="G45" s="43" t="str">
        <f t="shared" si="6"/>
        <v>outlier</v>
      </c>
      <c r="H45" s="43" t="str">
        <f t="shared" si="6"/>
        <v/>
      </c>
      <c r="I45" s="43" t="str">
        <f t="shared" si="6"/>
        <v/>
      </c>
      <c r="J45" s="43" t="str">
        <f t="shared" si="6"/>
        <v/>
      </c>
      <c r="K45" s="43" t="str">
        <f t="shared" si="6"/>
        <v/>
      </c>
      <c r="L45" s="43" t="str">
        <f t="shared" si="6"/>
        <v/>
      </c>
      <c r="O45" s="42" t="s">
        <v>103</v>
      </c>
      <c r="P45" s="43" t="str">
        <f>IF(P44&gt;$P$41,"outlier","")</f>
        <v/>
      </c>
      <c r="Q45" s="43" t="str">
        <f t="shared" ref="Q45:Y45" si="7">IF(Q44&gt;$P$41,"outlier","")</f>
        <v/>
      </c>
      <c r="R45" s="43" t="str">
        <f t="shared" si="7"/>
        <v/>
      </c>
      <c r="S45" s="43" t="str">
        <f t="shared" si="7"/>
        <v/>
      </c>
      <c r="T45" s="43" t="str">
        <f t="shared" si="7"/>
        <v>outlier</v>
      </c>
      <c r="U45" s="43" t="str">
        <f t="shared" si="7"/>
        <v/>
      </c>
      <c r="V45" s="43" t="str">
        <f t="shared" si="7"/>
        <v/>
      </c>
      <c r="W45" s="43" t="str">
        <f t="shared" si="7"/>
        <v/>
      </c>
      <c r="X45" s="43" t="str">
        <f t="shared" si="7"/>
        <v/>
      </c>
      <c r="Y45" s="43" t="str">
        <f t="shared" si="7"/>
        <v/>
      </c>
    </row>
    <row r="47" spans="2:26" x14ac:dyDescent="0.25">
      <c r="B47" s="41" t="s">
        <v>108</v>
      </c>
      <c r="O47" s="41" t="s">
        <v>108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2:26" x14ac:dyDescent="0.25">
      <c r="B48" t="s">
        <v>109</v>
      </c>
      <c r="C48" s="48">
        <v>0.05</v>
      </c>
      <c r="O48" t="s">
        <v>109</v>
      </c>
      <c r="P48" s="48">
        <v>0.05</v>
      </c>
      <c r="Q48" s="5"/>
      <c r="R48" s="5"/>
      <c r="S48" s="5"/>
      <c r="T48" s="5"/>
      <c r="U48" s="5"/>
      <c r="V48" s="5"/>
      <c r="W48" s="5"/>
      <c r="X48" s="5"/>
      <c r="Y48" s="5"/>
    </row>
    <row r="49" spans="2:25" x14ac:dyDescent="0.25">
      <c r="B49" t="s">
        <v>102</v>
      </c>
      <c r="C49" s="45">
        <f>_xlfn.CHISQ.INV(1-C48, 1)</f>
        <v>3.8414588206941236</v>
      </c>
      <c r="O49" t="s">
        <v>102</v>
      </c>
      <c r="P49" s="45">
        <f>_xlfn.CHISQ.INV(1-P48, 1)</f>
        <v>3.8414588206941236</v>
      </c>
      <c r="Q49" s="5"/>
      <c r="R49" s="5"/>
      <c r="S49" s="5"/>
      <c r="T49" s="5"/>
      <c r="U49" s="5"/>
      <c r="V49" s="5"/>
      <c r="W49" s="5"/>
      <c r="X49" s="5"/>
      <c r="Y49" s="5"/>
    </row>
    <row r="50" spans="2:25" x14ac:dyDescent="0.25">
      <c r="B50" t="s">
        <v>100</v>
      </c>
      <c r="C50" s="12">
        <f t="shared" ref="C50:L50" si="8">((C43-AVERAGE($C$3:$L$3))^2)/((STDEVA($C$3:$L$3))^2)</f>
        <v>0.35257171898957818</v>
      </c>
      <c r="D50" s="12">
        <f t="shared" si="8"/>
        <v>0.39611450007522425</v>
      </c>
      <c r="E50" s="12">
        <f t="shared" si="8"/>
        <v>0.82774203464121865</v>
      </c>
      <c r="F50" s="12">
        <f t="shared" si="8"/>
        <v>0.55677468509339978</v>
      </c>
      <c r="G50" s="12">
        <f t="shared" si="8"/>
        <v>6.2950174765098046</v>
      </c>
      <c r="H50" s="12">
        <f t="shared" si="8"/>
        <v>1.6179901749262132E-2</v>
      </c>
      <c r="I50" s="12">
        <f t="shared" si="8"/>
        <v>3.6157563219688595E-3</v>
      </c>
      <c r="J50" s="12">
        <f t="shared" si="8"/>
        <v>0.16903993096257272</v>
      </c>
      <c r="K50" s="12">
        <f t="shared" si="8"/>
        <v>0.31124743349263922</v>
      </c>
      <c r="L50" s="12">
        <f t="shared" si="8"/>
        <v>7.1696562164344599E-2</v>
      </c>
      <c r="O50" t="s">
        <v>100</v>
      </c>
      <c r="P50" s="12">
        <f>((P43-AVERAGE($C$9:$L$9))^2)/((STDEVA($C$9:$L$9))^2)</f>
        <v>0.15795442964248305</v>
      </c>
      <c r="Q50" s="12">
        <f>((Q43-AVERAGE($C$9:$L$9))^2)/((STDEVA($C$9:$L$9))^2)</f>
        <v>0.71791229724267525</v>
      </c>
      <c r="R50" s="12">
        <f t="shared" ref="R50:Y50" si="9">((R43-AVERAGE($C$9:$L$9))^2)/((STDEVA($C$9:$L$9))^2)</f>
        <v>0.16063391033026034</v>
      </c>
      <c r="S50" s="12">
        <f t="shared" si="9"/>
        <v>1.7618245366283749E-3</v>
      </c>
      <c r="T50" s="12">
        <f t="shared" si="9"/>
        <v>6.4758565839764586</v>
      </c>
      <c r="U50" s="12">
        <f t="shared" si="9"/>
        <v>0.11744989283468962</v>
      </c>
      <c r="V50" s="12">
        <f t="shared" si="9"/>
        <v>0.52053846095208878</v>
      </c>
      <c r="W50" s="12">
        <f t="shared" si="9"/>
        <v>0.20197637823660278</v>
      </c>
      <c r="X50" s="12">
        <f t="shared" si="9"/>
        <v>0.22181927933739487</v>
      </c>
      <c r="Y50" s="12">
        <f t="shared" si="9"/>
        <v>0.42409694291073013</v>
      </c>
    </row>
    <row r="51" spans="2:25" x14ac:dyDescent="0.25">
      <c r="B51" t="s">
        <v>103</v>
      </c>
      <c r="C51" s="43" t="str">
        <f>IF(C50&gt;$C$49,"outlier","")</f>
        <v/>
      </c>
      <c r="D51" s="43" t="str">
        <f t="shared" ref="D51:L51" si="10">IF(D50&gt;$C$49,"outlier","")</f>
        <v/>
      </c>
      <c r="E51" s="43" t="str">
        <f t="shared" si="10"/>
        <v/>
      </c>
      <c r="F51" s="43" t="str">
        <f t="shared" si="10"/>
        <v/>
      </c>
      <c r="G51" s="43" t="str">
        <f t="shared" si="10"/>
        <v>outlier</v>
      </c>
      <c r="H51" s="43" t="str">
        <f t="shared" si="10"/>
        <v/>
      </c>
      <c r="I51" s="43" t="str">
        <f t="shared" si="10"/>
        <v/>
      </c>
      <c r="J51" s="43" t="str">
        <f t="shared" si="10"/>
        <v/>
      </c>
      <c r="K51" s="43" t="str">
        <f t="shared" si="10"/>
        <v/>
      </c>
      <c r="L51" s="43" t="str">
        <f t="shared" si="10"/>
        <v/>
      </c>
      <c r="O51" t="s">
        <v>103</v>
      </c>
      <c r="P51" s="43" t="str">
        <f>IF(P50&gt;$P$49,"outlier","")</f>
        <v/>
      </c>
      <c r="Q51" s="43" t="str">
        <f t="shared" ref="Q51:Y51" si="11">IF(Q50&gt;$P$49,"outlier","")</f>
        <v/>
      </c>
      <c r="R51" s="43" t="str">
        <f t="shared" si="11"/>
        <v/>
      </c>
      <c r="S51" s="43" t="str">
        <f t="shared" si="11"/>
        <v/>
      </c>
      <c r="T51" s="43" t="str">
        <f t="shared" si="11"/>
        <v>outlier</v>
      </c>
      <c r="U51" s="43" t="str">
        <f t="shared" si="11"/>
        <v/>
      </c>
      <c r="V51" s="43" t="str">
        <f t="shared" si="11"/>
        <v/>
      </c>
      <c r="W51" s="43" t="str">
        <f t="shared" si="11"/>
        <v/>
      </c>
      <c r="X51" s="43" t="str">
        <f t="shared" si="11"/>
        <v/>
      </c>
      <c r="Y51" s="43" t="str">
        <f t="shared" si="11"/>
        <v/>
      </c>
    </row>
    <row r="52" spans="2:25" x14ac:dyDescent="0.25">
      <c r="B52" t="s">
        <v>110</v>
      </c>
      <c r="C52" s="12">
        <f>1-_xlfn.CHISQ.DIST(C50, 1, TRUE)</f>
        <v>0.55266094015616907</v>
      </c>
      <c r="D52" s="12">
        <f t="shared" ref="D52:L52" si="12">1-_xlfn.CHISQ.DIST(D50, 1, TRUE)</f>
        <v>0.52910274406290503</v>
      </c>
      <c r="E52" s="12">
        <f t="shared" si="12"/>
        <v>0.36292625685657764</v>
      </c>
      <c r="F52" s="12">
        <f t="shared" si="12"/>
        <v>0.45556269779869529</v>
      </c>
      <c r="G52" s="12">
        <f t="shared" si="12"/>
        <v>1.2107782342201667E-2</v>
      </c>
      <c r="H52" s="12">
        <f t="shared" si="12"/>
        <v>0.89878191327574974</v>
      </c>
      <c r="I52" s="12">
        <f t="shared" si="12"/>
        <v>0.95205117330193889</v>
      </c>
      <c r="J52" s="12">
        <f t="shared" si="12"/>
        <v>0.68096646456869836</v>
      </c>
      <c r="K52" s="12">
        <f t="shared" si="12"/>
        <v>0.57691571727492175</v>
      </c>
      <c r="L52" s="12">
        <f t="shared" si="12"/>
        <v>0.7888824168534011</v>
      </c>
      <c r="O52" t="s">
        <v>110</v>
      </c>
      <c r="P52" s="12">
        <f>1-_xlfn.CHISQ.DIST(P50, 1, TRUE)</f>
        <v>0.69104684877790534</v>
      </c>
      <c r="Q52" s="12">
        <f t="shared" ref="Q52:Y52" si="13">1-_xlfn.CHISQ.DIST(Q50, 1, TRUE)</f>
        <v>0.39682956845761763</v>
      </c>
      <c r="R52" s="12">
        <f t="shared" si="13"/>
        <v>0.68857356045367091</v>
      </c>
      <c r="S52" s="12">
        <f t="shared" si="13"/>
        <v>0.96651935019379565</v>
      </c>
      <c r="T52" s="12">
        <f t="shared" si="13"/>
        <v>1.0934960005268612E-2</v>
      </c>
      <c r="U52" s="12">
        <f t="shared" si="13"/>
        <v>0.73181691474075461</v>
      </c>
      <c r="V52" s="12">
        <f t="shared" si="13"/>
        <v>0.47061208023600964</v>
      </c>
      <c r="W52" s="12">
        <f t="shared" si="13"/>
        <v>0.65313027767295195</v>
      </c>
      <c r="X52" s="12">
        <f t="shared" si="13"/>
        <v>0.63765720146994986</v>
      </c>
      <c r="Y52" s="12">
        <f t="shared" si="13"/>
        <v>0.51489979642561767</v>
      </c>
    </row>
    <row r="54" spans="2:25" x14ac:dyDescent="0.25">
      <c r="B54" s="41" t="s">
        <v>117</v>
      </c>
      <c r="C54"/>
      <c r="D54"/>
      <c r="E54"/>
      <c r="F54"/>
      <c r="G54"/>
      <c r="H54"/>
      <c r="I54"/>
      <c r="J54"/>
      <c r="K54"/>
      <c r="O54" s="41" t="s">
        <v>117</v>
      </c>
    </row>
    <row r="55" spans="2:25" x14ac:dyDescent="0.25">
      <c r="B55" t="s">
        <v>124</v>
      </c>
      <c r="C55"/>
      <c r="D55"/>
      <c r="E55"/>
      <c r="F55" t="s">
        <v>125</v>
      </c>
      <c r="G55"/>
      <c r="H55"/>
      <c r="I55"/>
      <c r="J55"/>
      <c r="K55"/>
      <c r="O55" t="s">
        <v>126</v>
      </c>
      <c r="S55" t="s">
        <v>127</v>
      </c>
    </row>
    <row r="56" spans="2:25" x14ac:dyDescent="0.25">
      <c r="B56" t="s">
        <v>113</v>
      </c>
      <c r="C56"/>
      <c r="D56"/>
      <c r="E56"/>
      <c r="F56" t="s">
        <v>114</v>
      </c>
      <c r="G56"/>
      <c r="H56"/>
      <c r="I56"/>
      <c r="J56"/>
      <c r="K56"/>
      <c r="O56" t="s">
        <v>111</v>
      </c>
      <c r="S56" t="s">
        <v>112</v>
      </c>
    </row>
    <row r="58" spans="2:25" x14ac:dyDescent="0.25">
      <c r="B58" s="41" t="s">
        <v>152</v>
      </c>
      <c r="O58" s="41" t="s">
        <v>152</v>
      </c>
    </row>
    <row r="59" spans="2:25" x14ac:dyDescent="0.25">
      <c r="B59" t="s">
        <v>161</v>
      </c>
      <c r="O59" t="s">
        <v>162</v>
      </c>
    </row>
    <row r="60" spans="2:25" x14ac:dyDescent="0.25">
      <c r="E60" s="54" t="s">
        <v>172</v>
      </c>
      <c r="R60" s="54" t="s">
        <v>172</v>
      </c>
    </row>
    <row r="61" spans="2:25" x14ac:dyDescent="0.25">
      <c r="B61" s="41" t="s">
        <v>164</v>
      </c>
      <c r="C61" s="50" t="s">
        <v>165</v>
      </c>
      <c r="E61" s="5" t="s">
        <v>169</v>
      </c>
      <c r="O61" s="41" t="s">
        <v>164</v>
      </c>
      <c r="Q61" s="50" t="s">
        <v>163</v>
      </c>
      <c r="R61" s="5" t="s">
        <v>169</v>
      </c>
    </row>
    <row r="62" spans="2:25" x14ac:dyDescent="0.25">
      <c r="C62" s="50" t="s">
        <v>165</v>
      </c>
      <c r="E62" s="5" t="s">
        <v>170</v>
      </c>
      <c r="Q62" s="50" t="s">
        <v>163</v>
      </c>
      <c r="R62" s="5" t="s">
        <v>170</v>
      </c>
    </row>
    <row r="63" spans="2:25" x14ac:dyDescent="0.25">
      <c r="C63" s="50" t="s">
        <v>165</v>
      </c>
      <c r="E63" s="5" t="s">
        <v>171</v>
      </c>
      <c r="Q63" s="50" t="s">
        <v>163</v>
      </c>
      <c r="R63" s="5" t="s">
        <v>171</v>
      </c>
    </row>
  </sheetData>
  <conditionalFormatting sqref="C52:L52">
    <cfRule type="expression" dxfId="1" priority="4">
      <formula>C52&lt;0.05</formula>
    </cfRule>
  </conditionalFormatting>
  <conditionalFormatting sqref="P52:Y52">
    <cfRule type="expression" dxfId="0" priority="3">
      <formula>P52&lt;0.05</formula>
    </cfRule>
  </conditionalFormatting>
  <dataValidations count="3">
    <dataValidation type="list" allowBlank="1" showInputMessage="1" showErrorMessage="1" sqref="S2 S8">
      <formula1>$AF$5:$AF$6</formula1>
    </dataValidation>
    <dataValidation type="list" allowBlank="1" showInputMessage="1" showErrorMessage="1" sqref="P13">
      <formula1>$AF$10:$AF$12</formula1>
    </dataValidation>
    <dataValidation type="list" allowBlank="1" showInputMessage="1" showErrorMessage="1" sqref="AB6:AE6 AB12">
      <formula1>$AF$2:$AF$3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30 mA</vt:lpstr>
      <vt:lpstr>Plan11</vt:lpstr>
      <vt:lpstr>Plan12</vt:lpstr>
      <vt:lpstr>Plan13</vt:lpstr>
      <vt:lpstr>Plan14</vt:lpstr>
      <vt:lpstr>Plan15</vt:lpstr>
      <vt:lpstr>Plan16</vt:lpstr>
      <vt:lpstr>Plan17</vt:lpstr>
      <vt:lpstr>Plan18</vt:lpstr>
      <vt:lpstr>Plan19</vt:lpstr>
      <vt:lpstr>Plan20</vt:lpstr>
      <vt:lpstr>10 mA</vt:lpstr>
      <vt:lpstr>Plan11 (2)</vt:lpstr>
      <vt:lpstr>Plan12 (2)</vt:lpstr>
      <vt:lpstr>Plan13 (2)</vt:lpstr>
      <vt:lpstr>Plan14 (2)</vt:lpstr>
      <vt:lpstr>Plan15 (2)</vt:lpstr>
      <vt:lpstr>Plan16 (2)</vt:lpstr>
      <vt:lpstr>Plan17 (2)</vt:lpstr>
      <vt:lpstr>Plan18 (2)</vt:lpstr>
      <vt:lpstr>Plan19 (2)</vt:lpstr>
      <vt:lpstr>Plan20 (2)</vt:lpstr>
      <vt:lpstr>Plan11 (3)</vt:lpstr>
      <vt:lpstr>Plan12 (3)</vt:lpstr>
      <vt:lpstr>Plan13 (3)</vt:lpstr>
      <vt:lpstr>Plan14 (3)</vt:lpstr>
      <vt:lpstr>Plan15 (3)</vt:lpstr>
      <vt:lpstr>Plan16 (3)</vt:lpstr>
      <vt:lpstr>Plan17 (3)</vt:lpstr>
      <vt:lpstr>Plan18 (3)</vt:lpstr>
      <vt:lpstr>Plan19 (3)</vt:lpstr>
      <vt:lpstr>Plan20 (3)</vt:lpstr>
      <vt:lpstr>3 mA</vt:lpstr>
      <vt:lpstr>1 mA</vt:lpstr>
      <vt:lpstr>Plan1</vt:lpstr>
      <vt:lpstr>Plan2</vt:lpstr>
      <vt:lpstr>Plan3</vt:lpstr>
      <vt:lpstr>Plan4</vt:lpstr>
      <vt:lpstr>Plan5</vt:lpstr>
      <vt:lpstr>Plan6</vt:lpstr>
      <vt:lpstr>Plan7</vt:lpstr>
      <vt:lpstr>Plan8</vt:lpstr>
      <vt:lpstr>Plan9</vt:lpstr>
      <vt:lpstr>Plan10</vt:lpstr>
      <vt:lpstr>300 uA</vt:lpstr>
      <vt:lpstr>Plan1 (2)</vt:lpstr>
      <vt:lpstr>Plan2 (2)</vt:lpstr>
      <vt:lpstr>Plan3 (2)</vt:lpstr>
      <vt:lpstr>Plan4 (2)</vt:lpstr>
      <vt:lpstr>Plan5 (2)</vt:lpstr>
      <vt:lpstr>Plan6 (2)</vt:lpstr>
      <vt:lpstr>Plan7 (2)</vt:lpstr>
      <vt:lpstr>Plan8 (2)</vt:lpstr>
      <vt:lpstr>Plan9 (2)</vt:lpstr>
      <vt:lpstr>Plan10 (2)</vt:lpstr>
      <vt:lpstr>Estabilidade 30 mA</vt:lpstr>
      <vt:lpstr>Estabilidade 10 mA</vt:lpstr>
      <vt:lpstr>Estabilidade 3 mA</vt:lpstr>
      <vt:lpstr>Estabilidade 1 mA</vt:lpstr>
      <vt:lpstr>Estabilidade 300 uA</vt:lpstr>
      <vt:lpstr>Estabilidade 10 mA s descarte</vt:lpstr>
      <vt:lpstr>Estabilidade 1 mA s descarte</vt:lpstr>
      <vt:lpstr>Estabilidade 300 uA s descarte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2026-02-11T03:12:23Z</dcterms:modified>
</cp:coreProperties>
</file>